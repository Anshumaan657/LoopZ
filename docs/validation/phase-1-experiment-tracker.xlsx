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e32c4e8ec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758c6cc6d134841"/>
    <x:sheet xmlns:r="http://schemas.openxmlformats.org/officeDocument/2006/relationships" name="Participants" sheetId="2" r:id="R4e60b582a5734945"/>
    <x:sheet xmlns:r="http://schemas.openxmlformats.org/officeDocument/2006/relationships" name="Experiments" sheetId="3" r:id="Rc74b3419c885424f"/>
    <x:sheet xmlns:r="http://schemas.openxmlformats.org/officeDocument/2006/relationships" name="Criteria" sheetId="4" r:id="R9825501de1bc4fa4"/>
    <x:sheet xmlns:r="http://schemas.openxmlformats.org/officeDocument/2006/relationships" name="Question Log" sheetId="5" r:id="R61910abfbaea4de3"/>
    <x:sheet xmlns:r="http://schemas.openxmlformats.org/officeDocument/2006/relationships" name="Failure Patterns" sheetId="6" r:id="Ra534daa6271a4d11"/>
    <x:sheet xmlns:r="http://schemas.openxmlformats.org/officeDocument/2006/relationships" name="Lists &amp; Targets" sheetId="7" r:id="Rfc6f5b4e734e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0"/>
      <x:color rgb="FF172033"/>
      <x:name val="Carlito"/>
    </x:font>
    <x:font>
      <x:b/>
      <x:sz val="11"/>
      <x:color rgb="FF2367D1"/>
      <x:name val="Carlito"/>
    </x:font>
    <x:font>
      <x:b/>
      <x:sz val="10"/>
      <x:color rgb="FFFFFFFF"/>
      <x:name val="Carlito"/>
    </x:font>
    <x:font>
      <x:b/>
      <x:sz val="11"/>
      <x:color rgb="FFB26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13C"/>
      </x:patternFill>
    </x:fill>
    <x:fill>
      <x:patternFill patternType="solid">
        <x:fgColor rgb="FFEAF2FF"/>
      </x:patternFill>
    </x:fill>
    <x:fill>
      <x:patternFill patternType="solid">
        <x:fgColor rgb="FF2367D1"/>
      </x:patternFill>
    </x:fill>
    <x:fill>
      <x:patternFill patternType="solid">
        <x:fgColor rgb="FFF6F8FB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0"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167A55"/>
      </x:font>
      <x:fill>
        <x:patternFill patternType="solid">
          <x:bgColor rgb="FFE7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7c4a763044257" /><Relationship Type="http://schemas.openxmlformats.org/officeDocument/2006/relationships/theme" Target="/xl/theme/theme1.xml" Id="R7f637db0f08a4b80" /><Relationship Type="http://schemas.openxmlformats.org/officeDocument/2006/relationships/sharedStrings" Target="/xl/sharedStrings.xml" Id="Rd962655c80e1424a" /><Relationship Type="http://schemas.openxmlformats.org/officeDocument/2006/relationships/worksheet" Target="/xl/worksheets/sheet1.xml" Id="Re758c6cc6d134841" /><Relationship Type="http://schemas.openxmlformats.org/officeDocument/2006/relationships/worksheet" Target="/xl/worksheets/sheet2.xml" Id="R4e60b582a5734945" /><Relationship Type="http://schemas.openxmlformats.org/officeDocument/2006/relationships/worksheet" Target="/xl/worksheets/sheet3.xml" Id="Rc74b3419c885424f" /><Relationship Type="http://schemas.openxmlformats.org/officeDocument/2006/relationships/worksheet" Target="/xl/worksheets/sheet4.xml" Id="R9825501de1bc4fa4" /><Relationship Type="http://schemas.openxmlformats.org/officeDocument/2006/relationships/worksheet" Target="/xl/worksheets/sheet5.xml" Id="R61910abfbaea4de3" /><Relationship Type="http://schemas.openxmlformats.org/officeDocument/2006/relationships/worksheet" Target="/xl/worksheets/sheet6.xml" Id="Ra534daa6271a4d11" /><Relationship Type="http://schemas.openxmlformats.org/officeDocument/2006/relationships/worksheet" Target="/xl/worksheets/sheet7.xml" Id="Rfc6f5b4e734e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1" hidden="0" customWidth="1"/>
    <x:col min="4" max="4" width="14" hidden="0" customWidth="1"/>
    <x:col min="5" max="5" width="27" hidden="0" customWidth="1"/>
    <x:col min="6" max="6" width="18" hidden="0" customWidth="1"/>
    <x:col min="7" max="7" width="11" hidden="0" customWidth="1"/>
    <x:col min="8" max="8" width="15" hidden="0" customWidth="1"/>
  </x:cols>
  <x:sheetData>
    <x:row r="1" ht="34" customHeight="1">
      <x:c r="A1" s="4" t="str">
        <x:v>LoopZ Phase 1 — Concierge Validation Dashboard</x:v>
      </x:c>
      <x:c r="B1" s="4" t="str">
        <x:v>LoopZ Phase 1 — Concierge Validation Dashboard</x:v>
      </x:c>
      <x:c r="C1" s="4" t="str">
        <x:v>LoopZ Phase 1 — Concierge Validation Dashboard</x:v>
      </x:c>
      <x:c r="D1" s="4" t="str">
        <x:v>LoopZ Phase 1 — Concierge Validation Dashboard</x:v>
      </x:c>
      <x:c r="E1" s="4" t="str">
        <x:v>LoopZ Phase 1 — Concierge Validation Dashboard</x:v>
      </x:c>
      <x:c r="F1" s="4" t="str">
        <x:v>LoopZ Phase 1 — Concierge Validation Dashboard</x:v>
      </x:c>
      <x:c r="G1" s="4" t="str">
        <x:v>LoopZ Phase 1 — Concierge Validation Dashboard</x:v>
      </x:c>
      <x:c r="H1" s="4" t="str">
        <x:v>LoopZ Phase 1 — Concierge Validation Dashboard</x:v>
      </x:c>
    </x:row>
    <x:row r="2" ht="34" customHeight="1">
      <x:c r="A2" s="4" t="str">
        <x:v>LoopZ Phase 1 — Concierge Validation Dashboard</x:v>
      </x:c>
      <x:c r="B2" s="4" t="str">
        <x:v>LoopZ Phase 1 — Concierge Validation Dashboard</x:v>
      </x:c>
      <x:c r="C2" s="4" t="str">
        <x:v>LoopZ Phase 1 — Concierge Validation Dashboard</x:v>
      </x:c>
      <x:c r="D2" s="4" t="str">
        <x:v>LoopZ Phase 1 — Concierge Validation Dashboard</x:v>
      </x:c>
      <x:c r="E2" s="4" t="str">
        <x:v>LoopZ Phase 1 — Concierge Validation Dashboard</x:v>
      </x:c>
      <x:c r="F2" s="4" t="str">
        <x:v>LoopZ Phase 1 — Concierge Validation Dashboard</x:v>
      </x:c>
      <x:c r="G2" s="4" t="str">
        <x:v>LoopZ Phase 1 — Concierge Validation Dashboard</x:v>
      </x:c>
      <x:c r="H2" s="4" t="str">
        <x:v>LoopZ Phase 1 — Concierge Validation Dashboard</x:v>
      </x:c>
    </x:row>
    <x:row r="3" ht="42" customHeight="1">
      <x:c r="A3" s="8" t="str">
        <x:v>Enter real participant and experiment data in the tabs below. Dashboard metrics update automatically; blank cells are treated as missing evidence, not success.</x:v>
      </x:c>
      <x:c r="B3" s="8" t="str">
        <x:v>Enter real participant and experiment data in the tabs below. Dashboard metrics update automatically; blank cells are treated as missing evidence, not success.</x:v>
      </x:c>
      <x:c r="C3" s="8" t="str">
        <x:v>Enter real participant and experiment data in the tabs below. Dashboard metrics update automatically; blank cells are treated as missing evidence, not success.</x:v>
      </x:c>
      <x:c r="D3" s="8" t="str">
        <x:v>Enter real participant and experiment data in the tabs below. Dashboard metrics update automatically; blank cells are treated as missing evidence, not success.</x:v>
      </x:c>
      <x:c r="E3" s="8" t="str">
        <x:v>Enter real participant and experiment data in the tabs below. Dashboard metrics update automatically; blank cells are treated as missing evidence, not success.</x:v>
      </x:c>
      <x:c r="F3" s="8" t="str">
        <x:v>Enter real participant and experiment data in the tabs below. Dashboard metrics update automatically; blank cells are treated as missing evidence, not success.</x:v>
      </x:c>
      <x:c r="G3" s="8" t="str">
        <x:v>Enter real participant and experiment data in the tabs below. Dashboard metrics update automatically; blank cells are treated as missing evidence, not success.</x:v>
      </x:c>
      <x:c r="H3" s="8" t="str">
        <x:v>Enter real participant and experiment data in the tabs below. Dashboard metrics update automatically; blank cells are treated as missing evidence, not success.</x:v>
      </x:c>
    </x:row>
    <x:row r="4">
      <x:c r="A4" s="24"/>
      <x:c r="B4" s="24"/>
      <x:c r="C4" s="24"/>
      <x:c r="D4" s="24"/>
      <x:c r="E4" s="24"/>
      <x:c r="F4" s="24"/>
      <x:c r="G4" s="24"/>
      <x:c r="H4" s="24"/>
    </x:row>
    <x:row r="5" ht="32" customHeight="1">
      <x:c r="A5" s="13" t="str">
        <x:v>FIELDWORK</x:v>
      </x:c>
      <x:c r="B5" s="13" t="str">
        <x:v>VALUE</x:v>
      </x:c>
      <x:c r="C5" s="13" t="str">
        <x:v>TARGET</x:v>
      </x:c>
      <x:c r="D5" s="13" t="str">
        <x:v>STATUS</x:v>
      </x:c>
      <x:c r="E5" s="13" t="str">
        <x:v>OUTCOME SIGNAL</x:v>
      </x:c>
      <x:c r="F5" s="13" t="str">
        <x:v>VALUE</x:v>
      </x:c>
      <x:c r="G5" s="13" t="str">
        <x:v>TARGET</x:v>
      </x:c>
      <x:c r="H5" s="13" t="str">
        <x:v>STATUS</x:v>
      </x:c>
    </x:row>
    <x:row r="6">
      <x:c r="A6" s="25" t="str">
        <x:v>Eligible participants</x:v>
      </x:c>
      <x:c r="B6" s="26" t="n">
        <x:f>COUNTIF(Participants!F2:F201,"eligible")</x:f>
        <x:v>0</x:v>
      </x:c>
      <x:c r="C6" s="25" t="n">
        <x:v>5</x:v>
      </x:c>
      <x:c r="D6" s="25" t="str">
        <x:f>IF(B6&gt;=C6,"met","open")</x:f>
        <x:v>open</x:v>
      </x:c>
      <x:c r="E6" s="25" t="str">
        <x:v>Specific reuse commitments</x:v>
      </x:c>
      <x:c r="F6" s="26" t="n">
        <x:f>COUNTIF(Experiments!AA2:AA201,"yes-specific-task")</x:f>
        <x:v>0</x:v>
      </x:c>
      <x:c r="G6" s="25" t="n">
        <x:v>3</x:v>
      </x:c>
      <x:c r="H6" s="25" t="str">
        <x:f>IF(F6&gt;=G6,"met","open")</x:f>
        <x:v>open</x:v>
      </x:c>
    </x:row>
    <x:row r="7">
      <x:c r="A7" s="25" t="str">
        <x:v>Real tasks logged</x:v>
      </x:c>
      <x:c r="B7" s="26" t="n">
        <x:f>COUNTIF(Experiments!A2:A201,"?*")</x:f>
        <x:v>0</x:v>
      </x:c>
      <x:c r="C7" s="25" t="n">
        <x:v>10</x:v>
      </x:c>
      <x:c r="D7" s="25" t="str">
        <x:f>IF(B7&gt;=C7,"met","open")</x:f>
        <x:v>open</x:v>
      </x:c>
      <x:c r="E7" s="25" t="str">
        <x:v>Willingness-to-pay signals</x:v>
      </x:c>
      <x:c r="F7" s="26" t="n">
        <x:f>COUNTIF(Experiments!AB2:AB201,"strong")+COUNTIF(Experiments!AB2:AB201,"weak")</x:f>
        <x:v>0</x:v>
      </x:c>
      <x:c r="G7" s="25" t="n">
        <x:v>1</x:v>
      </x:c>
      <x:c r="H7" s="25" t="str">
        <x:f>IF(F7&gt;=G7,"met","open")</x:f>
        <x:v>open</x:v>
      </x:c>
    </x:row>
    <x:row r="8">
      <x:c r="A8" s="25" t="str">
        <x:v>Evidence returns</x:v>
      </x:c>
      <x:c r="B8" s="26" t="n">
        <x:f>COUNTIF(Experiments!N2:N201,"yes")</x:f>
        <x:v>0</x:v>
      </x:c>
      <x:c r="C8" s="25" t="n">
        <x:v>5</x:v>
      </x:c>
      <x:c r="D8" s="25" t="str">
        <x:f>IF(B8&gt;=C8,"met","open")</x:f>
        <x:v>open</x:v>
      </x:c>
      <x:c r="E8" s="25" t="str">
        <x:v>Average criteria pass rate</x:v>
      </x:c>
      <x:c r="F8" s="27" t="n">
        <x:f>IFERROR(AVERAGE(Experiments!R2:R201),0)</x:f>
        <x:v>0</x:v>
      </x:c>
      <x:c r="G8" s="27" t="n">
        <x:v>0.7</x:v>
      </x:c>
      <x:c r="H8" s="25" t="str">
        <x:f>IF(F8&gt;=G8,"met","open")</x:f>
        <x:v>open</x:v>
      </x:c>
    </x:row>
    <x:row r="9">
      <x:c r="A9" s="25" t="str">
        <x:v>End-to-end completions</x:v>
      </x:c>
      <x:c r="B9" s="26" t="n">
        <x:f>COUNTIF(Experiments!Z2:Z201,"completed")</x:f>
        <x:v>0</x:v>
      </x:c>
      <x:c r="C9" s="25" t="n">
        <x:v>5</x:v>
      </x:c>
      <x:c r="D9" s="25" t="str">
        <x:f>IF(B9&gt;=C9,"met","open")</x:f>
        <x:v>open</x:v>
      </x:c>
      <x:c r="E9" s="25" t="str">
        <x:v>Average evidence coverage</x:v>
      </x:c>
      <x:c r="F9" s="27" t="n">
        <x:f>IFERROR(AVERAGE(Experiments!S2:S201),0)</x:f>
        <x:v>0</x:v>
      </x:c>
      <x:c r="G9" s="27" t="n">
        <x:v>0.8</x:v>
      </x:c>
      <x:c r="H9" s="25" t="str">
        <x:f>IF(F9&gt;=G9,"met","open")</x:f>
        <x:v>open</x:v>
      </x:c>
    </x:row>
    <x:row r="10">
      <x:c r="A10" s="25" t="str">
        <x:v>Paired comparisons</x:v>
      </x:c>
      <x:c r="B10" s="26" t="n">
        <x:f>COUNTIF(Experiments!I2:I201,"yes")</x:f>
        <x:v>0</x:v>
      </x:c>
      <x:c r="C10" s="25" t="n">
        <x:v>3</x:v>
      </x:c>
      <x:c r="D10" s="25" t="str">
        <x:f>IF(B10&gt;=C10,"met","open")</x:f>
        <x:v>open</x:v>
      </x:c>
      <x:c r="E10" s="25" t="str">
        <x:v>Maximum questions respected</x:v>
      </x:c>
      <x:c r="F10" s="27" t="n">
        <x:f>IF(COUNTIF(Experiments!A2:A201,"?*")=0,0,IF(COUNTIF(Experiments!J2:J201,"&gt;5")=0,1,0))</x:f>
        <x:v>0</x:v>
      </x:c>
      <x:c r="G10" s="27" t="n">
        <x:v>1</x:v>
      </x:c>
      <x:c r="H10" s="25" t="str">
        <x:f>IF(F10&gt;=G10,"met","open")</x:f>
        <x:v>open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28" t="str">
        <x:v>Decision gate</x:v>
      </x:c>
      <x:c r="B12" s="28" t="str">
        <x:v>Decision gate</x:v>
      </x:c>
      <x:c r="C12" s="28" t="str">
        <x:v>Decision gate</x:v>
      </x:c>
      <x:c r="D12" s="28" t="str">
        <x:v>Decision gate</x:v>
      </x:c>
      <x:c r="E12" s="28" t="str">
        <x:v>Decision gate</x:v>
      </x:c>
      <x:c r="F12" s="28" t="str">
        <x:v>Decision gate</x:v>
      </x:c>
      <x:c r="G12" s="28" t="str">
        <x:v>Decision gate</x:v>
      </x:c>
      <x:c r="H12" s="28" t="str">
        <x:v>Decision gate</x:v>
      </x:c>
    </x:row>
    <x:row r="13">
      <x:c r="A13" s="29" t="str">
        <x:v>Minimum fieldwork gate</x:v>
      </x:c>
      <x:c r="B13" s="25" t="str">
        <x:f>IF(AND(B7&gt;=C7,B8&gt;=C8,B9&gt;=C9),"ready for evidence review","fieldwork incomplete")</x:f>
        <x:v>fieldwork incomplete</x:v>
      </x:c>
      <x:c r="C13" s="25"/>
      <x:c r="D13" s="25"/>
      <x:c r="E13" s="25"/>
      <x:c r="F13" s="25"/>
      <x:c r="G13" s="25"/>
      <x:c r="H13" s="25"/>
    </x:row>
    <x:row r="14">
      <x:c r="A14" s="29" t="str">
        <x:v>Exit review owner</x:v>
      </x:c>
      <x:c r="B14" s="25" t="str"/>
      <x:c r="C14" s="25"/>
      <x:c r="D14" s="25"/>
      <x:c r="E14" s="25"/>
      <x:c r="F14" s="25"/>
      <x:c r="G14" s="25"/>
      <x:c r="H14" s="25"/>
    </x:row>
    <x:row r="15">
      <x:c r="A15" s="29" t="str">
        <x:v>Review date</x:v>
      </x:c>
      <x:c r="B15" s="25" t="str"/>
      <x:c r="C15" s="25"/>
      <x:c r="D15" s="25"/>
      <x:c r="E15" s="25"/>
      <x:c r="F15" s="25"/>
      <x:c r="G15" s="25"/>
      <x:c r="H15" s="25"/>
    </x:row>
    <x:row r="16">
      <x:c r="A16" s="29" t="str">
        <x:v>Decision</x:v>
      </x:c>
      <x:c r="B16" s="25" t="str">
        <x:v>proceed / proceed-with-changes / narrow / pivot / stop</x:v>
      </x:c>
      <x:c r="C16" s="25"/>
      <x:c r="D16" s="25"/>
      <x:c r="E16" s="25"/>
      <x:c r="F16" s="25"/>
      <x:c r="G16" s="25"/>
      <x:c r="H16" s="25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30" t="str">
        <x:v>Interpretation notes</x:v>
      </x:c>
      <x:c r="B18" s="30"/>
      <x:c r="C18" s="30"/>
      <x:c r="D18" s="30"/>
      <x:c r="E18" s="30"/>
      <x:c r="F18" s="30"/>
      <x:c r="G18" s="30"/>
      <x:c r="H18" s="30"/>
    </x:row>
    <x:row r="19">
      <x:c r="A19" s="29" t="str">
        <x:v>Pass rate</x:v>
      </x:c>
      <x:c r="B19" s="25" t="str">
        <x:v>Counts only required criteria supported by inspectable evidence.</x:v>
      </x:c>
      <x:c r="C19" s="25"/>
      <x:c r="D19" s="25"/>
      <x:c r="E19" s="25"/>
      <x:c r="F19" s="25"/>
      <x:c r="G19" s="25"/>
      <x:c r="H19" s="25"/>
    </x:row>
    <x:row r="20">
      <x:c r="A20" s="29" t="str">
        <x:v>Evidence coverage</x:v>
      </x:c>
      <x:c r="B20" s="25" t="str">
        <x:v>Criteria with inspectable evidence divided by required criteria.</x:v>
      </x:c>
      <x:c r="C20" s="25"/>
      <x:c r="D20" s="25"/>
      <x:c r="E20" s="25"/>
      <x:c r="F20" s="25"/>
      <x:c r="G20" s="25"/>
      <x:c r="H20" s="25"/>
    </x:row>
    <x:row r="21">
      <x:c r="A21" s="29" t="str">
        <x:v>Token/cost</x:v>
      </x:c>
      <x:c r="B21" s="25" t="str">
        <x:v>Track only when the same provider measurement basis exists for both runs; do not infer total savings.</x:v>
      </x:c>
      <x:c r="C21" s="25"/>
      <x:c r="D21" s="25"/>
      <x:c r="E21" s="25"/>
      <x:c r="F21" s="25"/>
      <x:c r="G21" s="25"/>
      <x:c r="H21" s="25"/>
    </x:row>
  </x:sheetData>
  <x:mergeCells>
    <x:mergeCell ref="A1:H2"/>
    <x:mergeCell ref="A3:H3"/>
    <x:mergeCell ref="A12:H12"/>
    <x:mergeCell ref="B13:H13"/>
    <x:mergeCell ref="B14:H14"/>
    <x:mergeCell ref="B15:H15"/>
    <x:mergeCell ref="B16:H16"/>
    <x:mergeCell ref="A18:H18"/>
    <x:mergeCell ref="B19:H19"/>
    <x:mergeCell ref="B20:H20"/>
    <x:mergeCell ref="B21:H21"/>
  </x:mergeCells>
  <x:conditionalFormatting sqref="D6:D10">
    <x:cfRule type="containsText" dxfId="0" priority="1" operator="containsText" text="pass"/>
    <x:cfRule type="containsText" dxfId="1" priority="2" operator="containsText" text="completed"/>
    <x:cfRule type="containsText" dxfId="2" priority="3" operator="containsText" text="fail"/>
    <x:cfRule type="containsText" dxfId="3" priority="4" operator="containsText" text="blocked"/>
    <x:cfRule type="containsText" dxfId="4" priority="5" operator="containsText" text="partial"/>
  </x:conditionalFormatting>
  <x:conditionalFormatting sqref="H6:H10">
    <x:cfRule type="containsText" dxfId="5" priority="6" operator="containsText" text="pass"/>
    <x:cfRule type="containsText" dxfId="6" priority="7" operator="containsText" text="completed"/>
    <x:cfRule type="containsText" dxfId="7" priority="8" operator="containsText" text="fail"/>
    <x:cfRule type="containsText" dxfId="8" priority="9" operator="containsText" text="blocked"/>
    <x:cfRule type="containsText" dxfId="9" priority="10" operator="containsText" text="partial"/>
  </x:conditionalFormatting>
  <x:conditionalFormatting sqref="B13:H13">
    <x:cfRule type="containsText" dxfId="10" priority="11" operator="containsText" text="pass"/>
    <x:cfRule type="containsText" dxfId="11" priority="12" operator="containsText" text="completed"/>
    <x:cfRule type="containsText" dxfId="12" priority="13" operator="containsText" text="fail"/>
    <x:cfRule type="containsText" dxfId="13" priority="14" operator="containsText" text="blocked"/>
    <x:cfRule type="containsText" dxfId="14" priority="15" operator="containsText" text="partial"/>
  </x:conditionalFormatting>
  <x:dataValidations count="1">
    <x:dataValidation type="list" sqref="B16:H16">
      <x:formula1>"proceed,proceed-with-changes,narrow,pivot,stop"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9" hidden="0" customWidth="1"/>
    <x:col min="11" max="11" width="19" hidden="0" customWidth="1"/>
    <x:col min="12" max="12" width="19" hidden="0" customWidth="1"/>
    <x:col min="13" max="13" width="15" hidden="0" customWidth="1"/>
    <x:col min="14" max="14" width="32" hidden="0" customWidth="1"/>
  </x:cols>
  <x:sheetData>
    <x:row r="1" ht="32" customHeight="1">
      <x:c r="A1" s="33" t="str">
        <x:v>Participant ID</x:v>
      </x:c>
      <x:c r="B1" s="33" t="str">
        <x:v>Recruitment source</x:v>
      </x:c>
      <x:c r="C1" s="33" t="str">
        <x:v>Profile</x:v>
      </x:c>
      <x:c r="D1" s="33" t="str">
        <x:v>Agent experience</x:v>
      </x:c>
      <x:c r="E1" s="33" t="str">
        <x:v>Task ready?</x:v>
      </x:c>
      <x:c r="F1" s="33" t="str">
        <x:v>Eligibility</x:v>
      </x:c>
      <x:c r="G1" s="33" t="str">
        <x:v>Consent</x:v>
      </x:c>
      <x:c r="H1" s="33" t="str">
        <x:v>Scheduled date</x:v>
      </x:c>
      <x:c r="I1" s="33" t="str">
        <x:v>Completed date</x:v>
      </x:c>
      <x:c r="J1" s="33" t="str">
        <x:v>Status</x:v>
      </x:c>
      <x:c r="K1" s="33" t="str">
        <x:v>Reuse intent</x:v>
      </x:c>
      <x:c r="L1" s="33" t="str">
        <x:v>WTP signal</x:v>
      </x:c>
      <x:c r="M1" s="33" t="str">
        <x:v>Follow-up date</x:v>
      </x:c>
      <x:c r="N1" s="33" t="str">
        <x:v>Notes</x:v>
      </x:c>
    </x:row>
    <x:row r="2" ht="28" customHeight="1">
      <x:c r="A2" s="17"/>
      <x:c r="B2" s="17"/>
      <x:c r="C2" s="17"/>
      <x:c r="D2" s="17"/>
      <x:c r="E2" s="17"/>
      <x:c r="F2" s="17"/>
      <x:c r="G2" s="17"/>
      <x:c r="H2" s="34"/>
      <x:c r="I2" s="34"/>
      <x:c r="J2" s="17"/>
      <x:c r="K2" s="17"/>
      <x:c r="L2" s="17"/>
      <x:c r="M2" s="34"/>
      <x:c r="N2" s="17"/>
    </x:row>
    <x:row r="3" ht="28" customHeight="1">
      <x:c r="A3" s="17"/>
      <x:c r="B3" s="17"/>
      <x:c r="C3" s="17"/>
      <x:c r="D3" s="17"/>
      <x:c r="E3" s="17"/>
      <x:c r="F3" s="17"/>
      <x:c r="G3" s="17"/>
      <x:c r="H3" s="34"/>
      <x:c r="I3" s="34"/>
      <x:c r="J3" s="17"/>
      <x:c r="K3" s="17"/>
      <x:c r="L3" s="17"/>
      <x:c r="M3" s="34"/>
      <x:c r="N3" s="17"/>
    </x:row>
    <x:row r="4" ht="28" customHeight="1">
      <x:c r="A4" s="17"/>
      <x:c r="B4" s="17"/>
      <x:c r="C4" s="17"/>
      <x:c r="D4" s="17"/>
      <x:c r="E4" s="17"/>
      <x:c r="F4" s="17"/>
      <x:c r="G4" s="17"/>
      <x:c r="H4" s="34"/>
      <x:c r="I4" s="34"/>
      <x:c r="J4" s="17"/>
      <x:c r="K4" s="17"/>
      <x:c r="L4" s="17"/>
      <x:c r="M4" s="34"/>
      <x:c r="N4" s="17"/>
    </x:row>
    <x:row r="5" ht="28" customHeight="1">
      <x:c r="A5" s="17"/>
      <x:c r="B5" s="17"/>
      <x:c r="C5" s="17"/>
      <x:c r="D5" s="17"/>
      <x:c r="E5" s="17"/>
      <x:c r="F5" s="17"/>
      <x:c r="G5" s="17"/>
      <x:c r="H5" s="34"/>
      <x:c r="I5" s="34"/>
      <x:c r="J5" s="17"/>
      <x:c r="K5" s="17"/>
      <x:c r="L5" s="17"/>
      <x:c r="M5" s="34"/>
      <x:c r="N5" s="17"/>
    </x:row>
    <x:row r="6" ht="28" customHeight="1">
      <x:c r="A6" s="17"/>
      <x:c r="B6" s="17"/>
      <x:c r="C6" s="17"/>
      <x:c r="D6" s="17"/>
      <x:c r="E6" s="17"/>
      <x:c r="F6" s="17"/>
      <x:c r="G6" s="17"/>
      <x:c r="H6" s="34"/>
      <x:c r="I6" s="34"/>
      <x:c r="J6" s="17"/>
      <x:c r="K6" s="17"/>
      <x:c r="L6" s="17"/>
      <x:c r="M6" s="34"/>
      <x:c r="N6" s="17"/>
    </x:row>
    <x:row r="7" ht="28" customHeight="1">
      <x:c r="A7" s="17"/>
      <x:c r="B7" s="17"/>
      <x:c r="C7" s="17"/>
      <x:c r="D7" s="17"/>
      <x:c r="E7" s="17"/>
      <x:c r="F7" s="17"/>
      <x:c r="G7" s="17"/>
      <x:c r="H7" s="34"/>
      <x:c r="I7" s="34"/>
      <x:c r="J7" s="17"/>
      <x:c r="K7" s="17"/>
      <x:c r="L7" s="17"/>
      <x:c r="M7" s="34"/>
      <x:c r="N7" s="17"/>
    </x:row>
    <x:row r="8" ht="28" customHeight="1">
      <x:c r="A8" s="17"/>
      <x:c r="B8" s="17"/>
      <x:c r="C8" s="17"/>
      <x:c r="D8" s="17"/>
      <x:c r="E8" s="17"/>
      <x:c r="F8" s="17"/>
      <x:c r="G8" s="17"/>
      <x:c r="H8" s="34"/>
      <x:c r="I8" s="34"/>
      <x:c r="J8" s="17"/>
      <x:c r="K8" s="17"/>
      <x:c r="L8" s="17"/>
      <x:c r="M8" s="34"/>
      <x:c r="N8" s="17"/>
    </x:row>
    <x:row r="9" ht="28" customHeight="1">
      <x:c r="A9" s="17"/>
      <x:c r="B9" s="17"/>
      <x:c r="C9" s="17"/>
      <x:c r="D9" s="17"/>
      <x:c r="E9" s="17"/>
      <x:c r="F9" s="17"/>
      <x:c r="G9" s="17"/>
      <x:c r="H9" s="34"/>
      <x:c r="I9" s="34"/>
      <x:c r="J9" s="17"/>
      <x:c r="K9" s="17"/>
      <x:c r="L9" s="17"/>
      <x:c r="M9" s="34"/>
      <x:c r="N9" s="17"/>
    </x:row>
    <x:row r="10" ht="28" customHeight="1">
      <x:c r="A10" s="17"/>
      <x:c r="B10" s="17"/>
      <x:c r="C10" s="17"/>
      <x:c r="D10" s="17"/>
      <x:c r="E10" s="17"/>
      <x:c r="F10" s="17"/>
      <x:c r="G10" s="17"/>
      <x:c r="H10" s="34"/>
      <x:c r="I10" s="34"/>
      <x:c r="J10" s="17"/>
      <x:c r="K10" s="17"/>
      <x:c r="L10" s="17"/>
      <x:c r="M10" s="34"/>
      <x:c r="N10" s="17"/>
    </x:row>
    <x:row r="11" ht="28" customHeight="1">
      <x:c r="A11" s="17"/>
      <x:c r="B11" s="17"/>
      <x:c r="C11" s="17"/>
      <x:c r="D11" s="17"/>
      <x:c r="E11" s="17"/>
      <x:c r="F11" s="17"/>
      <x:c r="G11" s="17"/>
      <x:c r="H11" s="34"/>
      <x:c r="I11" s="34"/>
      <x:c r="J11" s="17"/>
      <x:c r="K11" s="17"/>
      <x:c r="L11" s="17"/>
      <x:c r="M11" s="34"/>
      <x:c r="N11" s="17"/>
    </x:row>
    <x:row r="12" ht="28" customHeight="1">
      <x:c r="A12" s="17"/>
      <x:c r="B12" s="17"/>
      <x:c r="C12" s="17"/>
      <x:c r="D12" s="17"/>
      <x:c r="E12" s="17"/>
      <x:c r="F12" s="17"/>
      <x:c r="G12" s="17"/>
      <x:c r="H12" s="34"/>
      <x:c r="I12" s="34"/>
      <x:c r="J12" s="17"/>
      <x:c r="K12" s="17"/>
      <x:c r="L12" s="17"/>
      <x:c r="M12" s="34"/>
      <x:c r="N12" s="17"/>
    </x:row>
    <x:row r="13" ht="28" customHeight="1">
      <x:c r="A13" s="17"/>
      <x:c r="B13" s="17"/>
      <x:c r="C13" s="17"/>
      <x:c r="D13" s="17"/>
      <x:c r="E13" s="17"/>
      <x:c r="F13" s="17"/>
      <x:c r="G13" s="17"/>
      <x:c r="H13" s="34"/>
      <x:c r="I13" s="34"/>
      <x:c r="J13" s="17"/>
      <x:c r="K13" s="17"/>
      <x:c r="L13" s="17"/>
      <x:c r="M13" s="34"/>
      <x:c r="N13" s="17"/>
    </x:row>
    <x:row r="14" ht="28" customHeight="1">
      <x:c r="A14" s="17"/>
      <x:c r="B14" s="17"/>
      <x:c r="C14" s="17"/>
      <x:c r="D14" s="17"/>
      <x:c r="E14" s="17"/>
      <x:c r="F14" s="17"/>
      <x:c r="G14" s="17"/>
      <x:c r="H14" s="34"/>
      <x:c r="I14" s="34"/>
      <x:c r="J14" s="17"/>
      <x:c r="K14" s="17"/>
      <x:c r="L14" s="17"/>
      <x:c r="M14" s="34"/>
      <x:c r="N14" s="17"/>
    </x:row>
    <x:row r="15" ht="28" customHeight="1">
      <x:c r="A15" s="17"/>
      <x:c r="B15" s="17"/>
      <x:c r="C15" s="17"/>
      <x:c r="D15" s="17"/>
      <x:c r="E15" s="17"/>
      <x:c r="F15" s="17"/>
      <x:c r="G15" s="17"/>
      <x:c r="H15" s="34"/>
      <x:c r="I15" s="34"/>
      <x:c r="J15" s="17"/>
      <x:c r="K15" s="17"/>
      <x:c r="L15" s="17"/>
      <x:c r="M15" s="34"/>
      <x:c r="N15" s="17"/>
    </x:row>
    <x:row r="16" ht="28" customHeight="1">
      <x:c r="A16" s="17"/>
      <x:c r="B16" s="17"/>
      <x:c r="C16" s="17"/>
      <x:c r="D16" s="17"/>
      <x:c r="E16" s="17"/>
      <x:c r="F16" s="17"/>
      <x:c r="G16" s="17"/>
      <x:c r="H16" s="34"/>
      <x:c r="I16" s="34"/>
      <x:c r="J16" s="17"/>
      <x:c r="K16" s="17"/>
      <x:c r="L16" s="17"/>
      <x:c r="M16" s="34"/>
      <x:c r="N16" s="17"/>
    </x:row>
    <x:row r="17" ht="28" customHeight="1">
      <x:c r="A17" s="17"/>
      <x:c r="B17" s="17"/>
      <x:c r="C17" s="17"/>
      <x:c r="D17" s="17"/>
      <x:c r="E17" s="17"/>
      <x:c r="F17" s="17"/>
      <x:c r="G17" s="17"/>
      <x:c r="H17" s="34"/>
      <x:c r="I17" s="34"/>
      <x:c r="J17" s="17"/>
      <x:c r="K17" s="17"/>
      <x:c r="L17" s="17"/>
      <x:c r="M17" s="34"/>
      <x:c r="N17" s="17"/>
    </x:row>
    <x:row r="18" ht="28" customHeight="1">
      <x:c r="A18" s="17"/>
      <x:c r="B18" s="17"/>
      <x:c r="C18" s="17"/>
      <x:c r="D18" s="17"/>
      <x:c r="E18" s="17"/>
      <x:c r="F18" s="17"/>
      <x:c r="G18" s="17"/>
      <x:c r="H18" s="34"/>
      <x:c r="I18" s="34"/>
      <x:c r="J18" s="17"/>
      <x:c r="K18" s="17"/>
      <x:c r="L18" s="17"/>
      <x:c r="M18" s="34"/>
      <x:c r="N18" s="17"/>
    </x:row>
    <x:row r="19" ht="28" customHeight="1">
      <x:c r="A19" s="17"/>
      <x:c r="B19" s="17"/>
      <x:c r="C19" s="17"/>
      <x:c r="D19" s="17"/>
      <x:c r="E19" s="17"/>
      <x:c r="F19" s="17"/>
      <x:c r="G19" s="17"/>
      <x:c r="H19" s="34"/>
      <x:c r="I19" s="34"/>
      <x:c r="J19" s="17"/>
      <x:c r="K19" s="17"/>
      <x:c r="L19" s="17"/>
      <x:c r="M19" s="34"/>
      <x:c r="N19" s="17"/>
    </x:row>
    <x:row r="20" ht="28" customHeight="1">
      <x:c r="A20" s="17"/>
      <x:c r="B20" s="17"/>
      <x:c r="C20" s="17"/>
      <x:c r="D20" s="17"/>
      <x:c r="E20" s="17"/>
      <x:c r="F20" s="17"/>
      <x:c r="G20" s="17"/>
      <x:c r="H20" s="34"/>
      <x:c r="I20" s="34"/>
      <x:c r="J20" s="17"/>
      <x:c r="K20" s="17"/>
      <x:c r="L20" s="17"/>
      <x:c r="M20" s="34"/>
      <x:c r="N20" s="17"/>
    </x:row>
    <x:row r="21" ht="28" customHeight="1">
      <x:c r="A21" s="17"/>
      <x:c r="B21" s="17"/>
      <x:c r="C21" s="17"/>
      <x:c r="D21" s="17"/>
      <x:c r="E21" s="17"/>
      <x:c r="F21" s="17"/>
      <x:c r="G21" s="17"/>
      <x:c r="H21" s="34"/>
      <x:c r="I21" s="34"/>
      <x:c r="J21" s="17"/>
      <x:c r="K21" s="17"/>
      <x:c r="L21" s="17"/>
      <x:c r="M21" s="34"/>
      <x:c r="N21" s="17"/>
    </x:row>
    <x:row r="22" ht="28" customHeight="1">
      <x:c r="A22" s="17"/>
      <x:c r="B22" s="17"/>
      <x:c r="C22" s="17"/>
      <x:c r="D22" s="17"/>
      <x:c r="E22" s="17"/>
      <x:c r="F22" s="17"/>
      <x:c r="G22" s="17"/>
      <x:c r="H22" s="34"/>
      <x:c r="I22" s="34"/>
      <x:c r="J22" s="17"/>
      <x:c r="K22" s="17"/>
      <x:c r="L22" s="17"/>
      <x:c r="M22" s="34"/>
      <x:c r="N22" s="17"/>
    </x:row>
    <x:row r="23" ht="28" customHeight="1">
      <x:c r="A23" s="17"/>
      <x:c r="B23" s="17"/>
      <x:c r="C23" s="17"/>
      <x:c r="D23" s="17"/>
      <x:c r="E23" s="17"/>
      <x:c r="F23" s="17"/>
      <x:c r="G23" s="17"/>
      <x:c r="H23" s="34"/>
      <x:c r="I23" s="34"/>
      <x:c r="J23" s="17"/>
      <x:c r="K23" s="17"/>
      <x:c r="L23" s="17"/>
      <x:c r="M23" s="34"/>
      <x:c r="N23" s="17"/>
    </x:row>
    <x:row r="24" ht="28" customHeight="1">
      <x:c r="A24" s="17"/>
      <x:c r="B24" s="17"/>
      <x:c r="C24" s="17"/>
      <x:c r="D24" s="17"/>
      <x:c r="E24" s="17"/>
      <x:c r="F24" s="17"/>
      <x:c r="G24" s="17"/>
      <x:c r="H24" s="34"/>
      <x:c r="I24" s="34"/>
      <x:c r="J24" s="17"/>
      <x:c r="K24" s="17"/>
      <x:c r="L24" s="17"/>
      <x:c r="M24" s="34"/>
      <x:c r="N24" s="17"/>
    </x:row>
    <x:row r="25" ht="28" customHeight="1">
      <x:c r="A25" s="17"/>
      <x:c r="B25" s="17"/>
      <x:c r="C25" s="17"/>
      <x:c r="D25" s="17"/>
      <x:c r="E25" s="17"/>
      <x:c r="F25" s="17"/>
      <x:c r="G25" s="17"/>
      <x:c r="H25" s="34"/>
      <x:c r="I25" s="34"/>
      <x:c r="J25" s="17"/>
      <x:c r="K25" s="17"/>
      <x:c r="L25" s="17"/>
      <x:c r="M25" s="34"/>
      <x:c r="N25" s="17"/>
    </x:row>
    <x:row r="26" ht="28" customHeight="1">
      <x:c r="A26" s="17"/>
      <x:c r="B26" s="17"/>
      <x:c r="C26" s="17"/>
      <x:c r="D26" s="17"/>
      <x:c r="E26" s="17"/>
      <x:c r="F26" s="17"/>
      <x:c r="G26" s="17"/>
      <x:c r="H26" s="34"/>
      <x:c r="I26" s="34"/>
      <x:c r="J26" s="17"/>
      <x:c r="K26" s="17"/>
      <x:c r="L26" s="17"/>
      <x:c r="M26" s="34"/>
      <x:c r="N26" s="17"/>
    </x:row>
    <x:row r="27" ht="28" customHeight="1">
      <x:c r="A27" s="17"/>
      <x:c r="B27" s="17"/>
      <x:c r="C27" s="17"/>
      <x:c r="D27" s="17"/>
      <x:c r="E27" s="17"/>
      <x:c r="F27" s="17"/>
      <x:c r="G27" s="17"/>
      <x:c r="H27" s="34"/>
      <x:c r="I27" s="34"/>
      <x:c r="J27" s="17"/>
      <x:c r="K27" s="17"/>
      <x:c r="L27" s="17"/>
      <x:c r="M27" s="34"/>
      <x:c r="N27" s="17"/>
    </x:row>
    <x:row r="28" ht="28" customHeight="1">
      <x:c r="A28" s="17"/>
      <x:c r="B28" s="17"/>
      <x:c r="C28" s="17"/>
      <x:c r="D28" s="17"/>
      <x:c r="E28" s="17"/>
      <x:c r="F28" s="17"/>
      <x:c r="G28" s="17"/>
      <x:c r="H28" s="34"/>
      <x:c r="I28" s="34"/>
      <x:c r="J28" s="17"/>
      <x:c r="K28" s="17"/>
      <x:c r="L28" s="17"/>
      <x:c r="M28" s="34"/>
      <x:c r="N28" s="17"/>
    </x:row>
    <x:row r="29" ht="28" customHeight="1">
      <x:c r="A29" s="17"/>
      <x:c r="B29" s="17"/>
      <x:c r="C29" s="17"/>
      <x:c r="D29" s="17"/>
      <x:c r="E29" s="17"/>
      <x:c r="F29" s="17"/>
      <x:c r="G29" s="17"/>
      <x:c r="H29" s="34"/>
      <x:c r="I29" s="34"/>
      <x:c r="J29" s="17"/>
      <x:c r="K29" s="17"/>
      <x:c r="L29" s="17"/>
      <x:c r="M29" s="34"/>
      <x:c r="N29" s="17"/>
    </x:row>
    <x:row r="30" ht="28" customHeight="1">
      <x:c r="A30" s="17"/>
      <x:c r="B30" s="17"/>
      <x:c r="C30" s="17"/>
      <x:c r="D30" s="17"/>
      <x:c r="E30" s="17"/>
      <x:c r="F30" s="17"/>
      <x:c r="G30" s="17"/>
      <x:c r="H30" s="34"/>
      <x:c r="I30" s="34"/>
      <x:c r="J30" s="17"/>
      <x:c r="K30" s="17"/>
      <x:c r="L30" s="17"/>
      <x:c r="M30" s="34"/>
      <x:c r="N30" s="17"/>
    </x:row>
    <x:row r="31" ht="28" customHeight="1">
      <x:c r="A31" s="17"/>
      <x:c r="B31" s="17"/>
      <x:c r="C31" s="17"/>
      <x:c r="D31" s="17"/>
      <x:c r="E31" s="17"/>
      <x:c r="F31" s="17"/>
      <x:c r="G31" s="17"/>
      <x:c r="H31" s="34"/>
      <x:c r="I31" s="34"/>
      <x:c r="J31" s="17"/>
      <x:c r="K31" s="17"/>
      <x:c r="L31" s="17"/>
      <x:c r="M31" s="34"/>
      <x:c r="N31" s="17"/>
    </x:row>
    <x:row r="32" ht="28" customHeight="1">
      <x:c r="A32" s="17"/>
      <x:c r="B32" s="17"/>
      <x:c r="C32" s="17"/>
      <x:c r="D32" s="17"/>
      <x:c r="E32" s="17"/>
      <x:c r="F32" s="17"/>
      <x:c r="G32" s="17"/>
      <x:c r="H32" s="34"/>
      <x:c r="I32" s="34"/>
      <x:c r="J32" s="17"/>
      <x:c r="K32" s="17"/>
      <x:c r="L32" s="17"/>
      <x:c r="M32" s="34"/>
      <x:c r="N32" s="17"/>
    </x:row>
    <x:row r="33" ht="28" customHeight="1">
      <x:c r="A33" s="17"/>
      <x:c r="B33" s="17"/>
      <x:c r="C33" s="17"/>
      <x:c r="D33" s="17"/>
      <x:c r="E33" s="17"/>
      <x:c r="F33" s="17"/>
      <x:c r="G33" s="17"/>
      <x:c r="H33" s="34"/>
      <x:c r="I33" s="34"/>
      <x:c r="J33" s="17"/>
      <x:c r="K33" s="17"/>
      <x:c r="L33" s="17"/>
      <x:c r="M33" s="34"/>
      <x:c r="N33" s="17"/>
    </x:row>
    <x:row r="34" ht="28" customHeight="1">
      <x:c r="A34" s="17"/>
      <x:c r="B34" s="17"/>
      <x:c r="C34" s="17"/>
      <x:c r="D34" s="17"/>
      <x:c r="E34" s="17"/>
      <x:c r="F34" s="17"/>
      <x:c r="G34" s="17"/>
      <x:c r="H34" s="34"/>
      <x:c r="I34" s="34"/>
      <x:c r="J34" s="17"/>
      <x:c r="K34" s="17"/>
      <x:c r="L34" s="17"/>
      <x:c r="M34" s="34"/>
      <x:c r="N34" s="17"/>
    </x:row>
    <x:row r="35" ht="28" customHeight="1">
      <x:c r="A35" s="17"/>
      <x:c r="B35" s="17"/>
      <x:c r="C35" s="17"/>
      <x:c r="D35" s="17"/>
      <x:c r="E35" s="17"/>
      <x:c r="F35" s="17"/>
      <x:c r="G35" s="17"/>
      <x:c r="H35" s="34"/>
      <x:c r="I35" s="34"/>
      <x:c r="J35" s="17"/>
      <x:c r="K35" s="17"/>
      <x:c r="L35" s="17"/>
      <x:c r="M35" s="34"/>
      <x:c r="N35" s="17"/>
    </x:row>
    <x:row r="36" ht="28" customHeight="1">
      <x:c r="A36" s="17"/>
      <x:c r="B36" s="17"/>
      <x:c r="C36" s="17"/>
      <x:c r="D36" s="17"/>
      <x:c r="E36" s="17"/>
      <x:c r="F36" s="17"/>
      <x:c r="G36" s="17"/>
      <x:c r="H36" s="34"/>
      <x:c r="I36" s="34"/>
      <x:c r="J36" s="17"/>
      <x:c r="K36" s="17"/>
      <x:c r="L36" s="17"/>
      <x:c r="M36" s="34"/>
      <x:c r="N36" s="17"/>
    </x:row>
    <x:row r="37" ht="28" customHeight="1">
      <x:c r="A37" s="17"/>
      <x:c r="B37" s="17"/>
      <x:c r="C37" s="17"/>
      <x:c r="D37" s="17"/>
      <x:c r="E37" s="17"/>
      <x:c r="F37" s="17"/>
      <x:c r="G37" s="17"/>
      <x:c r="H37" s="34"/>
      <x:c r="I37" s="34"/>
      <x:c r="J37" s="17"/>
      <x:c r="K37" s="17"/>
      <x:c r="L37" s="17"/>
      <x:c r="M37" s="34"/>
      <x:c r="N37" s="17"/>
    </x:row>
    <x:row r="38" ht="28" customHeight="1">
      <x:c r="A38" s="17"/>
      <x:c r="B38" s="17"/>
      <x:c r="C38" s="17"/>
      <x:c r="D38" s="17"/>
      <x:c r="E38" s="17"/>
      <x:c r="F38" s="17"/>
      <x:c r="G38" s="17"/>
      <x:c r="H38" s="34"/>
      <x:c r="I38" s="34"/>
      <x:c r="J38" s="17"/>
      <x:c r="K38" s="17"/>
      <x:c r="L38" s="17"/>
      <x:c r="M38" s="34"/>
      <x:c r="N38" s="17"/>
    </x:row>
    <x:row r="39" ht="28" customHeight="1">
      <x:c r="A39" s="17"/>
      <x:c r="B39" s="17"/>
      <x:c r="C39" s="17"/>
      <x:c r="D39" s="17"/>
      <x:c r="E39" s="17"/>
      <x:c r="F39" s="17"/>
      <x:c r="G39" s="17"/>
      <x:c r="H39" s="34"/>
      <x:c r="I39" s="34"/>
      <x:c r="J39" s="17"/>
      <x:c r="K39" s="17"/>
      <x:c r="L39" s="17"/>
      <x:c r="M39" s="34"/>
      <x:c r="N39" s="17"/>
    </x:row>
    <x:row r="40" ht="28" customHeight="1">
      <x:c r="A40" s="17"/>
      <x:c r="B40" s="17"/>
      <x:c r="C40" s="17"/>
      <x:c r="D40" s="17"/>
      <x:c r="E40" s="17"/>
      <x:c r="F40" s="17"/>
      <x:c r="G40" s="17"/>
      <x:c r="H40" s="34"/>
      <x:c r="I40" s="34"/>
      <x:c r="J40" s="17"/>
      <x:c r="K40" s="17"/>
      <x:c r="L40" s="17"/>
      <x:c r="M40" s="34"/>
      <x:c r="N40" s="17"/>
    </x:row>
    <x:row r="41" ht="28" customHeight="1">
      <x:c r="A41" s="17"/>
      <x:c r="B41" s="17"/>
      <x:c r="C41" s="17"/>
      <x:c r="D41" s="17"/>
      <x:c r="E41" s="17"/>
      <x:c r="F41" s="17"/>
      <x:c r="G41" s="17"/>
      <x:c r="H41" s="34"/>
      <x:c r="I41" s="34"/>
      <x:c r="J41" s="17"/>
      <x:c r="K41" s="17"/>
      <x:c r="L41" s="17"/>
      <x:c r="M41" s="34"/>
      <x:c r="N41" s="17"/>
    </x:row>
    <x:row r="42" ht="28" customHeight="1">
      <x:c r="A42" s="17"/>
      <x:c r="B42" s="17"/>
      <x:c r="C42" s="17"/>
      <x:c r="D42" s="17"/>
      <x:c r="E42" s="17"/>
      <x:c r="F42" s="17"/>
      <x:c r="G42" s="17"/>
      <x:c r="H42" s="34"/>
      <x:c r="I42" s="34"/>
      <x:c r="J42" s="17"/>
      <x:c r="K42" s="17"/>
      <x:c r="L42" s="17"/>
      <x:c r="M42" s="34"/>
      <x:c r="N42" s="17"/>
    </x:row>
    <x:row r="43" ht="28" customHeight="1">
      <x:c r="A43" s="17"/>
      <x:c r="B43" s="17"/>
      <x:c r="C43" s="17"/>
      <x:c r="D43" s="17"/>
      <x:c r="E43" s="17"/>
      <x:c r="F43" s="17"/>
      <x:c r="G43" s="17"/>
      <x:c r="H43" s="34"/>
      <x:c r="I43" s="34"/>
      <x:c r="J43" s="17"/>
      <x:c r="K43" s="17"/>
      <x:c r="L43" s="17"/>
      <x:c r="M43" s="34"/>
      <x:c r="N43" s="17"/>
    </x:row>
    <x:row r="44" ht="28" customHeight="1">
      <x:c r="A44" s="17"/>
      <x:c r="B44" s="17"/>
      <x:c r="C44" s="17"/>
      <x:c r="D44" s="17"/>
      <x:c r="E44" s="17"/>
      <x:c r="F44" s="17"/>
      <x:c r="G44" s="17"/>
      <x:c r="H44" s="34"/>
      <x:c r="I44" s="34"/>
      <x:c r="J44" s="17"/>
      <x:c r="K44" s="17"/>
      <x:c r="L44" s="17"/>
      <x:c r="M44" s="34"/>
      <x:c r="N44" s="17"/>
    </x:row>
    <x:row r="45" ht="28" customHeight="1">
      <x:c r="A45" s="17"/>
      <x:c r="B45" s="17"/>
      <x:c r="C45" s="17"/>
      <x:c r="D45" s="17"/>
      <x:c r="E45" s="17"/>
      <x:c r="F45" s="17"/>
      <x:c r="G45" s="17"/>
      <x:c r="H45" s="34"/>
      <x:c r="I45" s="34"/>
      <x:c r="J45" s="17"/>
      <x:c r="K45" s="17"/>
      <x:c r="L45" s="17"/>
      <x:c r="M45" s="34"/>
      <x:c r="N45" s="17"/>
    </x:row>
    <x:row r="46" ht="28" customHeight="1">
      <x:c r="A46" s="17"/>
      <x:c r="B46" s="17"/>
      <x:c r="C46" s="17"/>
      <x:c r="D46" s="17"/>
      <x:c r="E46" s="17"/>
      <x:c r="F46" s="17"/>
      <x:c r="G46" s="17"/>
      <x:c r="H46" s="34"/>
      <x:c r="I46" s="34"/>
      <x:c r="J46" s="17"/>
      <x:c r="K46" s="17"/>
      <x:c r="L46" s="17"/>
      <x:c r="M46" s="34"/>
      <x:c r="N46" s="17"/>
    </x:row>
    <x:row r="47" ht="28" customHeight="1">
      <x:c r="A47" s="17"/>
      <x:c r="B47" s="17"/>
      <x:c r="C47" s="17"/>
      <x:c r="D47" s="17"/>
      <x:c r="E47" s="17"/>
      <x:c r="F47" s="17"/>
      <x:c r="G47" s="17"/>
      <x:c r="H47" s="34"/>
      <x:c r="I47" s="34"/>
      <x:c r="J47" s="17"/>
      <x:c r="K47" s="17"/>
      <x:c r="L47" s="17"/>
      <x:c r="M47" s="34"/>
      <x:c r="N47" s="17"/>
    </x:row>
    <x:row r="48" ht="28" customHeight="1">
      <x:c r="A48" s="17"/>
      <x:c r="B48" s="17"/>
      <x:c r="C48" s="17"/>
      <x:c r="D48" s="17"/>
      <x:c r="E48" s="17"/>
      <x:c r="F48" s="17"/>
      <x:c r="G48" s="17"/>
      <x:c r="H48" s="34"/>
      <x:c r="I48" s="34"/>
      <x:c r="J48" s="17"/>
      <x:c r="K48" s="17"/>
      <x:c r="L48" s="17"/>
      <x:c r="M48" s="34"/>
      <x:c r="N48" s="17"/>
    </x:row>
    <x:row r="49" ht="28" customHeight="1">
      <x:c r="A49" s="17"/>
      <x:c r="B49" s="17"/>
      <x:c r="C49" s="17"/>
      <x:c r="D49" s="17"/>
      <x:c r="E49" s="17"/>
      <x:c r="F49" s="17"/>
      <x:c r="G49" s="17"/>
      <x:c r="H49" s="34"/>
      <x:c r="I49" s="34"/>
      <x:c r="J49" s="17"/>
      <x:c r="K49" s="17"/>
      <x:c r="L49" s="17"/>
      <x:c r="M49" s="34"/>
      <x:c r="N49" s="17"/>
    </x:row>
    <x:row r="50" ht="28" customHeight="1">
      <x:c r="A50" s="17"/>
      <x:c r="B50" s="17"/>
      <x:c r="C50" s="17"/>
      <x:c r="D50" s="17"/>
      <x:c r="E50" s="17"/>
      <x:c r="F50" s="17"/>
      <x:c r="G50" s="17"/>
      <x:c r="H50" s="34"/>
      <x:c r="I50" s="34"/>
      <x:c r="J50" s="17"/>
      <x:c r="K50" s="17"/>
      <x:c r="L50" s="17"/>
      <x:c r="M50" s="34"/>
      <x:c r="N50" s="17"/>
    </x:row>
    <x:row r="51" ht="28" customHeight="1">
      <x:c r="A51" s="17"/>
      <x:c r="B51" s="17"/>
      <x:c r="C51" s="17"/>
      <x:c r="D51" s="17"/>
      <x:c r="E51" s="17"/>
      <x:c r="F51" s="17"/>
      <x:c r="G51" s="17"/>
      <x:c r="H51" s="34"/>
      <x:c r="I51" s="34"/>
      <x:c r="J51" s="17"/>
      <x:c r="K51" s="17"/>
      <x:c r="L51" s="17"/>
      <x:c r="M51" s="34"/>
      <x:c r="N51" s="17"/>
    </x:row>
    <x:row r="52" ht="28" customHeight="1">
      <x:c r="A52" s="17"/>
      <x:c r="B52" s="17"/>
      <x:c r="C52" s="17"/>
      <x:c r="D52" s="17"/>
      <x:c r="E52" s="17"/>
      <x:c r="F52" s="17"/>
      <x:c r="G52" s="17"/>
      <x:c r="H52" s="34"/>
      <x:c r="I52" s="34"/>
      <x:c r="J52" s="17"/>
      <x:c r="K52" s="17"/>
      <x:c r="L52" s="17"/>
      <x:c r="M52" s="34"/>
      <x:c r="N52" s="17"/>
    </x:row>
    <x:row r="53" ht="28" customHeight="1">
      <x:c r="A53" s="17"/>
      <x:c r="B53" s="17"/>
      <x:c r="C53" s="17"/>
      <x:c r="D53" s="17"/>
      <x:c r="E53" s="17"/>
      <x:c r="F53" s="17"/>
      <x:c r="G53" s="17"/>
      <x:c r="H53" s="34"/>
      <x:c r="I53" s="34"/>
      <x:c r="J53" s="17"/>
      <x:c r="K53" s="17"/>
      <x:c r="L53" s="17"/>
      <x:c r="M53" s="34"/>
      <x:c r="N53" s="17"/>
    </x:row>
    <x:row r="54" ht="28" customHeight="1">
      <x:c r="A54" s="17"/>
      <x:c r="B54" s="17"/>
      <x:c r="C54" s="17"/>
      <x:c r="D54" s="17"/>
      <x:c r="E54" s="17"/>
      <x:c r="F54" s="17"/>
      <x:c r="G54" s="17"/>
      <x:c r="H54" s="34"/>
      <x:c r="I54" s="34"/>
      <x:c r="J54" s="17"/>
      <x:c r="K54" s="17"/>
      <x:c r="L54" s="17"/>
      <x:c r="M54" s="34"/>
      <x:c r="N54" s="17"/>
    </x:row>
    <x:row r="55" ht="28" customHeight="1">
      <x:c r="A55" s="17"/>
      <x:c r="B55" s="17"/>
      <x:c r="C55" s="17"/>
      <x:c r="D55" s="17"/>
      <x:c r="E55" s="17"/>
      <x:c r="F55" s="17"/>
      <x:c r="G55" s="17"/>
      <x:c r="H55" s="34"/>
      <x:c r="I55" s="34"/>
      <x:c r="J55" s="17"/>
      <x:c r="K55" s="17"/>
      <x:c r="L55" s="17"/>
      <x:c r="M55" s="34"/>
      <x:c r="N55" s="17"/>
    </x:row>
    <x:row r="56" ht="28" customHeight="1">
      <x:c r="A56" s="17"/>
      <x:c r="B56" s="17"/>
      <x:c r="C56" s="17"/>
      <x:c r="D56" s="17"/>
      <x:c r="E56" s="17"/>
      <x:c r="F56" s="17"/>
      <x:c r="G56" s="17"/>
      <x:c r="H56" s="34"/>
      <x:c r="I56" s="34"/>
      <x:c r="J56" s="17"/>
      <x:c r="K56" s="17"/>
      <x:c r="L56" s="17"/>
      <x:c r="M56" s="34"/>
      <x:c r="N56" s="17"/>
    </x:row>
    <x:row r="57" ht="28" customHeight="1">
      <x:c r="A57" s="17"/>
      <x:c r="B57" s="17"/>
      <x:c r="C57" s="17"/>
      <x:c r="D57" s="17"/>
      <x:c r="E57" s="17"/>
      <x:c r="F57" s="17"/>
      <x:c r="G57" s="17"/>
      <x:c r="H57" s="34"/>
      <x:c r="I57" s="34"/>
      <x:c r="J57" s="17"/>
      <x:c r="K57" s="17"/>
      <x:c r="L57" s="17"/>
      <x:c r="M57" s="34"/>
      <x:c r="N57" s="17"/>
    </x:row>
    <x:row r="58" ht="28" customHeight="1">
      <x:c r="A58" s="17"/>
      <x:c r="B58" s="17"/>
      <x:c r="C58" s="17"/>
      <x:c r="D58" s="17"/>
      <x:c r="E58" s="17"/>
      <x:c r="F58" s="17"/>
      <x:c r="G58" s="17"/>
      <x:c r="H58" s="34"/>
      <x:c r="I58" s="34"/>
      <x:c r="J58" s="17"/>
      <x:c r="K58" s="17"/>
      <x:c r="L58" s="17"/>
      <x:c r="M58" s="34"/>
      <x:c r="N58" s="17"/>
    </x:row>
    <x:row r="59" ht="28" customHeight="1">
      <x:c r="A59" s="17"/>
      <x:c r="B59" s="17"/>
      <x:c r="C59" s="17"/>
      <x:c r="D59" s="17"/>
      <x:c r="E59" s="17"/>
      <x:c r="F59" s="17"/>
      <x:c r="G59" s="17"/>
      <x:c r="H59" s="34"/>
      <x:c r="I59" s="34"/>
      <x:c r="J59" s="17"/>
      <x:c r="K59" s="17"/>
      <x:c r="L59" s="17"/>
      <x:c r="M59" s="34"/>
      <x:c r="N59" s="17"/>
    </x:row>
    <x:row r="60" ht="28" customHeight="1">
      <x:c r="A60" s="17"/>
      <x:c r="B60" s="17"/>
      <x:c r="C60" s="17"/>
      <x:c r="D60" s="17"/>
      <x:c r="E60" s="17"/>
      <x:c r="F60" s="17"/>
      <x:c r="G60" s="17"/>
      <x:c r="H60" s="34"/>
      <x:c r="I60" s="34"/>
      <x:c r="J60" s="17"/>
      <x:c r="K60" s="17"/>
      <x:c r="L60" s="17"/>
      <x:c r="M60" s="34"/>
      <x:c r="N60" s="17"/>
    </x:row>
    <x:row r="61" ht="28" customHeight="1">
      <x:c r="A61" s="17"/>
      <x:c r="B61" s="17"/>
      <x:c r="C61" s="17"/>
      <x:c r="D61" s="17"/>
      <x:c r="E61" s="17"/>
      <x:c r="F61" s="17"/>
      <x:c r="G61" s="17"/>
      <x:c r="H61" s="34"/>
      <x:c r="I61" s="34"/>
      <x:c r="J61" s="17"/>
      <x:c r="K61" s="17"/>
      <x:c r="L61" s="17"/>
      <x:c r="M61" s="34"/>
      <x:c r="N61" s="17"/>
    </x:row>
    <x:row r="62" ht="28" customHeight="1">
      <x:c r="A62" s="17"/>
      <x:c r="B62" s="17"/>
      <x:c r="C62" s="17"/>
      <x:c r="D62" s="17"/>
      <x:c r="E62" s="17"/>
      <x:c r="F62" s="17"/>
      <x:c r="G62" s="17"/>
      <x:c r="H62" s="34"/>
      <x:c r="I62" s="34"/>
      <x:c r="J62" s="17"/>
      <x:c r="K62" s="17"/>
      <x:c r="L62" s="17"/>
      <x:c r="M62" s="34"/>
      <x:c r="N62" s="17"/>
    </x:row>
    <x:row r="63" ht="28" customHeight="1">
      <x:c r="A63" s="17"/>
      <x:c r="B63" s="17"/>
      <x:c r="C63" s="17"/>
      <x:c r="D63" s="17"/>
      <x:c r="E63" s="17"/>
      <x:c r="F63" s="17"/>
      <x:c r="G63" s="17"/>
      <x:c r="H63" s="34"/>
      <x:c r="I63" s="34"/>
      <x:c r="J63" s="17"/>
      <x:c r="K63" s="17"/>
      <x:c r="L63" s="17"/>
      <x:c r="M63" s="34"/>
      <x:c r="N63" s="17"/>
    </x:row>
    <x:row r="64" ht="28" customHeight="1">
      <x:c r="A64" s="17"/>
      <x:c r="B64" s="17"/>
      <x:c r="C64" s="17"/>
      <x:c r="D64" s="17"/>
      <x:c r="E64" s="17"/>
      <x:c r="F64" s="17"/>
      <x:c r="G64" s="17"/>
      <x:c r="H64" s="34"/>
      <x:c r="I64" s="34"/>
      <x:c r="J64" s="17"/>
      <x:c r="K64" s="17"/>
      <x:c r="L64" s="17"/>
      <x:c r="M64" s="34"/>
      <x:c r="N64" s="17"/>
    </x:row>
    <x:row r="65" ht="28" customHeight="1">
      <x:c r="A65" s="17"/>
      <x:c r="B65" s="17"/>
      <x:c r="C65" s="17"/>
      <x:c r="D65" s="17"/>
      <x:c r="E65" s="17"/>
      <x:c r="F65" s="17"/>
      <x:c r="G65" s="17"/>
      <x:c r="H65" s="34"/>
      <x:c r="I65" s="34"/>
      <x:c r="J65" s="17"/>
      <x:c r="K65" s="17"/>
      <x:c r="L65" s="17"/>
      <x:c r="M65" s="34"/>
      <x:c r="N65" s="17"/>
    </x:row>
    <x:row r="66" ht="28" customHeight="1">
      <x:c r="A66" s="17"/>
      <x:c r="B66" s="17"/>
      <x:c r="C66" s="17"/>
      <x:c r="D66" s="17"/>
      <x:c r="E66" s="17"/>
      <x:c r="F66" s="17"/>
      <x:c r="G66" s="17"/>
      <x:c r="H66" s="34"/>
      <x:c r="I66" s="34"/>
      <x:c r="J66" s="17"/>
      <x:c r="K66" s="17"/>
      <x:c r="L66" s="17"/>
      <x:c r="M66" s="34"/>
      <x:c r="N66" s="17"/>
    </x:row>
    <x:row r="67" ht="28" customHeight="1">
      <x:c r="A67" s="17"/>
      <x:c r="B67" s="17"/>
      <x:c r="C67" s="17"/>
      <x:c r="D67" s="17"/>
      <x:c r="E67" s="17"/>
      <x:c r="F67" s="17"/>
      <x:c r="G67" s="17"/>
      <x:c r="H67" s="34"/>
      <x:c r="I67" s="34"/>
      <x:c r="J67" s="17"/>
      <x:c r="K67" s="17"/>
      <x:c r="L67" s="17"/>
      <x:c r="M67" s="34"/>
      <x:c r="N67" s="17"/>
    </x:row>
    <x:row r="68" ht="28" customHeight="1">
      <x:c r="A68" s="17"/>
      <x:c r="B68" s="17"/>
      <x:c r="C68" s="17"/>
      <x:c r="D68" s="17"/>
      <x:c r="E68" s="17"/>
      <x:c r="F68" s="17"/>
      <x:c r="G68" s="17"/>
      <x:c r="H68" s="34"/>
      <x:c r="I68" s="34"/>
      <x:c r="J68" s="17"/>
      <x:c r="K68" s="17"/>
      <x:c r="L68" s="17"/>
      <x:c r="M68" s="34"/>
      <x:c r="N68" s="17"/>
    </x:row>
    <x:row r="69" ht="28" customHeight="1">
      <x:c r="A69" s="17"/>
      <x:c r="B69" s="17"/>
      <x:c r="C69" s="17"/>
      <x:c r="D69" s="17"/>
      <x:c r="E69" s="17"/>
      <x:c r="F69" s="17"/>
      <x:c r="G69" s="17"/>
      <x:c r="H69" s="34"/>
      <x:c r="I69" s="34"/>
      <x:c r="J69" s="17"/>
      <x:c r="K69" s="17"/>
      <x:c r="L69" s="17"/>
      <x:c r="M69" s="34"/>
      <x:c r="N69" s="17"/>
    </x:row>
    <x:row r="70" ht="28" customHeight="1">
      <x:c r="A70" s="17"/>
      <x:c r="B70" s="17"/>
      <x:c r="C70" s="17"/>
      <x:c r="D70" s="17"/>
      <x:c r="E70" s="17"/>
      <x:c r="F70" s="17"/>
      <x:c r="G70" s="17"/>
      <x:c r="H70" s="34"/>
      <x:c r="I70" s="34"/>
      <x:c r="J70" s="17"/>
      <x:c r="K70" s="17"/>
      <x:c r="L70" s="17"/>
      <x:c r="M70" s="34"/>
      <x:c r="N70" s="17"/>
    </x:row>
    <x:row r="71" ht="28" customHeight="1">
      <x:c r="A71" s="17"/>
      <x:c r="B71" s="17"/>
      <x:c r="C71" s="17"/>
      <x:c r="D71" s="17"/>
      <x:c r="E71" s="17"/>
      <x:c r="F71" s="17"/>
      <x:c r="G71" s="17"/>
      <x:c r="H71" s="34"/>
      <x:c r="I71" s="34"/>
      <x:c r="J71" s="17"/>
      <x:c r="K71" s="17"/>
      <x:c r="L71" s="17"/>
      <x:c r="M71" s="34"/>
      <x:c r="N71" s="17"/>
    </x:row>
    <x:row r="72" ht="28" customHeight="1">
      <x:c r="A72" s="17"/>
      <x:c r="B72" s="17"/>
      <x:c r="C72" s="17"/>
      <x:c r="D72" s="17"/>
      <x:c r="E72" s="17"/>
      <x:c r="F72" s="17"/>
      <x:c r="G72" s="17"/>
      <x:c r="H72" s="34"/>
      <x:c r="I72" s="34"/>
      <x:c r="J72" s="17"/>
      <x:c r="K72" s="17"/>
      <x:c r="L72" s="17"/>
      <x:c r="M72" s="34"/>
      <x:c r="N72" s="17"/>
    </x:row>
    <x:row r="73" ht="28" customHeight="1">
      <x:c r="A73" s="17"/>
      <x:c r="B73" s="17"/>
      <x:c r="C73" s="17"/>
      <x:c r="D73" s="17"/>
      <x:c r="E73" s="17"/>
      <x:c r="F73" s="17"/>
      <x:c r="G73" s="17"/>
      <x:c r="H73" s="34"/>
      <x:c r="I73" s="34"/>
      <x:c r="J73" s="17"/>
      <x:c r="K73" s="17"/>
      <x:c r="L73" s="17"/>
      <x:c r="M73" s="34"/>
      <x:c r="N73" s="17"/>
    </x:row>
    <x:row r="74" ht="28" customHeight="1">
      <x:c r="A74" s="17"/>
      <x:c r="B74" s="17"/>
      <x:c r="C74" s="17"/>
      <x:c r="D74" s="17"/>
      <x:c r="E74" s="17"/>
      <x:c r="F74" s="17"/>
      <x:c r="G74" s="17"/>
      <x:c r="H74" s="34"/>
      <x:c r="I74" s="34"/>
      <x:c r="J74" s="17"/>
      <x:c r="K74" s="17"/>
      <x:c r="L74" s="17"/>
      <x:c r="M74" s="34"/>
      <x:c r="N74" s="17"/>
    </x:row>
    <x:row r="75" ht="28" customHeight="1">
      <x:c r="A75" s="17"/>
      <x:c r="B75" s="17"/>
      <x:c r="C75" s="17"/>
      <x:c r="D75" s="17"/>
      <x:c r="E75" s="17"/>
      <x:c r="F75" s="17"/>
      <x:c r="G75" s="17"/>
      <x:c r="H75" s="34"/>
      <x:c r="I75" s="34"/>
      <x:c r="J75" s="17"/>
      <x:c r="K75" s="17"/>
      <x:c r="L75" s="17"/>
      <x:c r="M75" s="34"/>
      <x:c r="N75" s="17"/>
    </x:row>
    <x:row r="76" ht="28" customHeight="1">
      <x:c r="A76" s="17"/>
      <x:c r="B76" s="17"/>
      <x:c r="C76" s="17"/>
      <x:c r="D76" s="17"/>
      <x:c r="E76" s="17"/>
      <x:c r="F76" s="17"/>
      <x:c r="G76" s="17"/>
      <x:c r="H76" s="34"/>
      <x:c r="I76" s="34"/>
      <x:c r="J76" s="17"/>
      <x:c r="K76" s="17"/>
      <x:c r="L76" s="17"/>
      <x:c r="M76" s="34"/>
      <x:c r="N76" s="17"/>
    </x:row>
    <x:row r="77" ht="28" customHeight="1">
      <x:c r="A77" s="17"/>
      <x:c r="B77" s="17"/>
      <x:c r="C77" s="17"/>
      <x:c r="D77" s="17"/>
      <x:c r="E77" s="17"/>
      <x:c r="F77" s="17"/>
      <x:c r="G77" s="17"/>
      <x:c r="H77" s="34"/>
      <x:c r="I77" s="34"/>
      <x:c r="J77" s="17"/>
      <x:c r="K77" s="17"/>
      <x:c r="L77" s="17"/>
      <x:c r="M77" s="34"/>
      <x:c r="N77" s="17"/>
    </x:row>
    <x:row r="78" ht="28" customHeight="1">
      <x:c r="A78" s="17"/>
      <x:c r="B78" s="17"/>
      <x:c r="C78" s="17"/>
      <x:c r="D78" s="17"/>
      <x:c r="E78" s="17"/>
      <x:c r="F78" s="17"/>
      <x:c r="G78" s="17"/>
      <x:c r="H78" s="34"/>
      <x:c r="I78" s="34"/>
      <x:c r="J78" s="17"/>
      <x:c r="K78" s="17"/>
      <x:c r="L78" s="17"/>
      <x:c r="M78" s="34"/>
      <x:c r="N78" s="17"/>
    </x:row>
    <x:row r="79" ht="28" customHeight="1">
      <x:c r="A79" s="17"/>
      <x:c r="B79" s="17"/>
      <x:c r="C79" s="17"/>
      <x:c r="D79" s="17"/>
      <x:c r="E79" s="17"/>
      <x:c r="F79" s="17"/>
      <x:c r="G79" s="17"/>
      <x:c r="H79" s="34"/>
      <x:c r="I79" s="34"/>
      <x:c r="J79" s="17"/>
      <x:c r="K79" s="17"/>
      <x:c r="L79" s="17"/>
      <x:c r="M79" s="34"/>
      <x:c r="N79" s="17"/>
    </x:row>
    <x:row r="80" ht="28" customHeight="1">
      <x:c r="A80" s="17"/>
      <x:c r="B80" s="17"/>
      <x:c r="C80" s="17"/>
      <x:c r="D80" s="17"/>
      <x:c r="E80" s="17"/>
      <x:c r="F80" s="17"/>
      <x:c r="G80" s="17"/>
      <x:c r="H80" s="34"/>
      <x:c r="I80" s="34"/>
      <x:c r="J80" s="17"/>
      <x:c r="K80" s="17"/>
      <x:c r="L80" s="17"/>
      <x:c r="M80" s="34"/>
      <x:c r="N80" s="17"/>
    </x:row>
    <x:row r="81" ht="28" customHeight="1">
      <x:c r="A81" s="17"/>
      <x:c r="B81" s="17"/>
      <x:c r="C81" s="17"/>
      <x:c r="D81" s="17"/>
      <x:c r="E81" s="17"/>
      <x:c r="F81" s="17"/>
      <x:c r="G81" s="17"/>
      <x:c r="H81" s="34"/>
      <x:c r="I81" s="34"/>
      <x:c r="J81" s="17"/>
      <x:c r="K81" s="17"/>
      <x:c r="L81" s="17"/>
      <x:c r="M81" s="34"/>
      <x:c r="N81" s="17"/>
    </x:row>
    <x:row r="82" ht="28" customHeight="1">
      <x:c r="A82" s="17"/>
      <x:c r="B82" s="17"/>
      <x:c r="C82" s="17"/>
      <x:c r="D82" s="17"/>
      <x:c r="E82" s="17"/>
      <x:c r="F82" s="17"/>
      <x:c r="G82" s="17"/>
      <x:c r="H82" s="34"/>
      <x:c r="I82" s="34"/>
      <x:c r="J82" s="17"/>
      <x:c r="K82" s="17"/>
      <x:c r="L82" s="17"/>
      <x:c r="M82" s="34"/>
      <x:c r="N82" s="17"/>
    </x:row>
    <x:row r="83" ht="28" customHeight="1">
      <x:c r="A83" s="17"/>
      <x:c r="B83" s="17"/>
      <x:c r="C83" s="17"/>
      <x:c r="D83" s="17"/>
      <x:c r="E83" s="17"/>
      <x:c r="F83" s="17"/>
      <x:c r="G83" s="17"/>
      <x:c r="H83" s="34"/>
      <x:c r="I83" s="34"/>
      <x:c r="J83" s="17"/>
      <x:c r="K83" s="17"/>
      <x:c r="L83" s="17"/>
      <x:c r="M83" s="34"/>
      <x:c r="N83" s="17"/>
    </x:row>
    <x:row r="84" ht="28" customHeight="1">
      <x:c r="A84" s="17"/>
      <x:c r="B84" s="17"/>
      <x:c r="C84" s="17"/>
      <x:c r="D84" s="17"/>
      <x:c r="E84" s="17"/>
      <x:c r="F84" s="17"/>
      <x:c r="G84" s="17"/>
      <x:c r="H84" s="34"/>
      <x:c r="I84" s="34"/>
      <x:c r="J84" s="17"/>
      <x:c r="K84" s="17"/>
      <x:c r="L84" s="17"/>
      <x:c r="M84" s="34"/>
      <x:c r="N84" s="17"/>
    </x:row>
    <x:row r="85" ht="28" customHeight="1">
      <x:c r="A85" s="17"/>
      <x:c r="B85" s="17"/>
      <x:c r="C85" s="17"/>
      <x:c r="D85" s="17"/>
      <x:c r="E85" s="17"/>
      <x:c r="F85" s="17"/>
      <x:c r="G85" s="17"/>
      <x:c r="H85" s="34"/>
      <x:c r="I85" s="34"/>
      <x:c r="J85" s="17"/>
      <x:c r="K85" s="17"/>
      <x:c r="L85" s="17"/>
      <x:c r="M85" s="34"/>
      <x:c r="N85" s="17"/>
    </x:row>
    <x:row r="86" ht="28" customHeight="1">
      <x:c r="A86" s="17"/>
      <x:c r="B86" s="17"/>
      <x:c r="C86" s="17"/>
      <x:c r="D86" s="17"/>
      <x:c r="E86" s="17"/>
      <x:c r="F86" s="17"/>
      <x:c r="G86" s="17"/>
      <x:c r="H86" s="34"/>
      <x:c r="I86" s="34"/>
      <x:c r="J86" s="17"/>
      <x:c r="K86" s="17"/>
      <x:c r="L86" s="17"/>
      <x:c r="M86" s="34"/>
      <x:c r="N86" s="17"/>
    </x:row>
    <x:row r="87" ht="28" customHeight="1">
      <x:c r="A87" s="17"/>
      <x:c r="B87" s="17"/>
      <x:c r="C87" s="17"/>
      <x:c r="D87" s="17"/>
      <x:c r="E87" s="17"/>
      <x:c r="F87" s="17"/>
      <x:c r="G87" s="17"/>
      <x:c r="H87" s="34"/>
      <x:c r="I87" s="34"/>
      <x:c r="J87" s="17"/>
      <x:c r="K87" s="17"/>
      <x:c r="L87" s="17"/>
      <x:c r="M87" s="34"/>
      <x:c r="N87" s="17"/>
    </x:row>
    <x:row r="88" ht="28" customHeight="1">
      <x:c r="A88" s="17"/>
      <x:c r="B88" s="17"/>
      <x:c r="C88" s="17"/>
      <x:c r="D88" s="17"/>
      <x:c r="E88" s="17"/>
      <x:c r="F88" s="17"/>
      <x:c r="G88" s="17"/>
      <x:c r="H88" s="34"/>
      <x:c r="I88" s="34"/>
      <x:c r="J88" s="17"/>
      <x:c r="K88" s="17"/>
      <x:c r="L88" s="17"/>
      <x:c r="M88" s="34"/>
      <x:c r="N88" s="17"/>
    </x:row>
    <x:row r="89" ht="28" customHeight="1">
      <x:c r="A89" s="17"/>
      <x:c r="B89" s="17"/>
      <x:c r="C89" s="17"/>
      <x:c r="D89" s="17"/>
      <x:c r="E89" s="17"/>
      <x:c r="F89" s="17"/>
      <x:c r="G89" s="17"/>
      <x:c r="H89" s="34"/>
      <x:c r="I89" s="34"/>
      <x:c r="J89" s="17"/>
      <x:c r="K89" s="17"/>
      <x:c r="L89" s="17"/>
      <x:c r="M89" s="34"/>
      <x:c r="N89" s="17"/>
    </x:row>
    <x:row r="90" ht="28" customHeight="1">
      <x:c r="A90" s="17"/>
      <x:c r="B90" s="17"/>
      <x:c r="C90" s="17"/>
      <x:c r="D90" s="17"/>
      <x:c r="E90" s="17"/>
      <x:c r="F90" s="17"/>
      <x:c r="G90" s="17"/>
      <x:c r="H90" s="34"/>
      <x:c r="I90" s="34"/>
      <x:c r="J90" s="17"/>
      <x:c r="K90" s="17"/>
      <x:c r="L90" s="17"/>
      <x:c r="M90" s="34"/>
      <x:c r="N90" s="17"/>
    </x:row>
    <x:row r="91" ht="28" customHeight="1">
      <x:c r="A91" s="17"/>
      <x:c r="B91" s="17"/>
      <x:c r="C91" s="17"/>
      <x:c r="D91" s="17"/>
      <x:c r="E91" s="17"/>
      <x:c r="F91" s="17"/>
      <x:c r="G91" s="17"/>
      <x:c r="H91" s="34"/>
      <x:c r="I91" s="34"/>
      <x:c r="J91" s="17"/>
      <x:c r="K91" s="17"/>
      <x:c r="L91" s="17"/>
      <x:c r="M91" s="34"/>
      <x:c r="N91" s="17"/>
    </x:row>
    <x:row r="92" ht="28" customHeight="1">
      <x:c r="A92" s="17"/>
      <x:c r="B92" s="17"/>
      <x:c r="C92" s="17"/>
      <x:c r="D92" s="17"/>
      <x:c r="E92" s="17"/>
      <x:c r="F92" s="17"/>
      <x:c r="G92" s="17"/>
      <x:c r="H92" s="34"/>
      <x:c r="I92" s="34"/>
      <x:c r="J92" s="17"/>
      <x:c r="K92" s="17"/>
      <x:c r="L92" s="17"/>
      <x:c r="M92" s="34"/>
      <x:c r="N92" s="17"/>
    </x:row>
    <x:row r="93" ht="28" customHeight="1">
      <x:c r="A93" s="17"/>
      <x:c r="B93" s="17"/>
      <x:c r="C93" s="17"/>
      <x:c r="D93" s="17"/>
      <x:c r="E93" s="17"/>
      <x:c r="F93" s="17"/>
      <x:c r="G93" s="17"/>
      <x:c r="H93" s="34"/>
      <x:c r="I93" s="34"/>
      <x:c r="J93" s="17"/>
      <x:c r="K93" s="17"/>
      <x:c r="L93" s="17"/>
      <x:c r="M93" s="34"/>
      <x:c r="N93" s="17"/>
    </x:row>
    <x:row r="94" ht="28" customHeight="1">
      <x:c r="A94" s="17"/>
      <x:c r="B94" s="17"/>
      <x:c r="C94" s="17"/>
      <x:c r="D94" s="17"/>
      <x:c r="E94" s="17"/>
      <x:c r="F94" s="17"/>
      <x:c r="G94" s="17"/>
      <x:c r="H94" s="34"/>
      <x:c r="I94" s="34"/>
      <x:c r="J94" s="17"/>
      <x:c r="K94" s="17"/>
      <x:c r="L94" s="17"/>
      <x:c r="M94" s="34"/>
      <x:c r="N94" s="17"/>
    </x:row>
    <x:row r="95" ht="28" customHeight="1">
      <x:c r="A95" s="17"/>
      <x:c r="B95" s="17"/>
      <x:c r="C95" s="17"/>
      <x:c r="D95" s="17"/>
      <x:c r="E95" s="17"/>
      <x:c r="F95" s="17"/>
      <x:c r="G95" s="17"/>
      <x:c r="H95" s="34"/>
      <x:c r="I95" s="34"/>
      <x:c r="J95" s="17"/>
      <x:c r="K95" s="17"/>
      <x:c r="L95" s="17"/>
      <x:c r="M95" s="34"/>
      <x:c r="N95" s="17"/>
    </x:row>
    <x:row r="96" ht="28" customHeight="1">
      <x:c r="A96" s="17"/>
      <x:c r="B96" s="17"/>
      <x:c r="C96" s="17"/>
      <x:c r="D96" s="17"/>
      <x:c r="E96" s="17"/>
      <x:c r="F96" s="17"/>
      <x:c r="G96" s="17"/>
      <x:c r="H96" s="34"/>
      <x:c r="I96" s="34"/>
      <x:c r="J96" s="17"/>
      <x:c r="K96" s="17"/>
      <x:c r="L96" s="17"/>
      <x:c r="M96" s="34"/>
      <x:c r="N96" s="17"/>
    </x:row>
    <x:row r="97" ht="28" customHeight="1">
      <x:c r="A97" s="17"/>
      <x:c r="B97" s="17"/>
      <x:c r="C97" s="17"/>
      <x:c r="D97" s="17"/>
      <x:c r="E97" s="17"/>
      <x:c r="F97" s="17"/>
      <x:c r="G97" s="17"/>
      <x:c r="H97" s="34"/>
      <x:c r="I97" s="34"/>
      <x:c r="J97" s="17"/>
      <x:c r="K97" s="17"/>
      <x:c r="L97" s="17"/>
      <x:c r="M97" s="34"/>
      <x:c r="N97" s="17"/>
    </x:row>
    <x:row r="98" ht="28" customHeight="1">
      <x:c r="A98" s="17"/>
      <x:c r="B98" s="17"/>
      <x:c r="C98" s="17"/>
      <x:c r="D98" s="17"/>
      <x:c r="E98" s="17"/>
      <x:c r="F98" s="17"/>
      <x:c r="G98" s="17"/>
      <x:c r="H98" s="34"/>
      <x:c r="I98" s="34"/>
      <x:c r="J98" s="17"/>
      <x:c r="K98" s="17"/>
      <x:c r="L98" s="17"/>
      <x:c r="M98" s="34"/>
      <x:c r="N98" s="17"/>
    </x:row>
    <x:row r="99" ht="28" customHeight="1">
      <x:c r="A99" s="17"/>
      <x:c r="B99" s="17"/>
      <x:c r="C99" s="17"/>
      <x:c r="D99" s="17"/>
      <x:c r="E99" s="17"/>
      <x:c r="F99" s="17"/>
      <x:c r="G99" s="17"/>
      <x:c r="H99" s="34"/>
      <x:c r="I99" s="34"/>
      <x:c r="J99" s="17"/>
      <x:c r="K99" s="17"/>
      <x:c r="L99" s="17"/>
      <x:c r="M99" s="34"/>
      <x:c r="N99" s="17"/>
    </x:row>
    <x:row r="100" ht="28" customHeight="1">
      <x:c r="A100" s="17"/>
      <x:c r="B100" s="17"/>
      <x:c r="C100" s="17"/>
      <x:c r="D100" s="17"/>
      <x:c r="E100" s="17"/>
      <x:c r="F100" s="17"/>
      <x:c r="G100" s="17"/>
      <x:c r="H100" s="34"/>
      <x:c r="I100" s="34"/>
      <x:c r="J100" s="17"/>
      <x:c r="K100" s="17"/>
      <x:c r="L100" s="17"/>
      <x:c r="M100" s="34"/>
      <x:c r="N100" s="17"/>
    </x:row>
    <x:row r="101" ht="28" customHeight="1">
      <x:c r="A101" s="17"/>
      <x:c r="B101" s="17"/>
      <x:c r="C101" s="17"/>
      <x:c r="D101" s="17"/>
      <x:c r="E101" s="17"/>
      <x:c r="F101" s="17"/>
      <x:c r="G101" s="17"/>
      <x:c r="H101" s="34"/>
      <x:c r="I101" s="34"/>
      <x:c r="J101" s="17"/>
      <x:c r="K101" s="17"/>
      <x:c r="L101" s="17"/>
      <x:c r="M101" s="34"/>
      <x:c r="N101" s="17"/>
    </x:row>
    <x:row r="102" ht="28" customHeight="1">
      <x:c r="A102" s="17"/>
      <x:c r="B102" s="17"/>
      <x:c r="C102" s="17"/>
      <x:c r="D102" s="17"/>
      <x:c r="E102" s="17"/>
      <x:c r="F102" s="17"/>
      <x:c r="G102" s="17"/>
      <x:c r="H102" s="34"/>
      <x:c r="I102" s="34"/>
      <x:c r="J102" s="17"/>
      <x:c r="K102" s="17"/>
      <x:c r="L102" s="17"/>
      <x:c r="M102" s="34"/>
      <x:c r="N102" s="17"/>
    </x:row>
    <x:row r="103" ht="28" customHeight="1">
      <x:c r="A103" s="17"/>
      <x:c r="B103" s="17"/>
      <x:c r="C103" s="17"/>
      <x:c r="D103" s="17"/>
      <x:c r="E103" s="17"/>
      <x:c r="F103" s="17"/>
      <x:c r="G103" s="17"/>
      <x:c r="H103" s="34"/>
      <x:c r="I103" s="34"/>
      <x:c r="J103" s="17"/>
      <x:c r="K103" s="17"/>
      <x:c r="L103" s="17"/>
      <x:c r="M103" s="34"/>
      <x:c r="N103" s="17"/>
    </x:row>
    <x:row r="104" ht="28" customHeight="1">
      <x:c r="A104" s="17"/>
      <x:c r="B104" s="17"/>
      <x:c r="C104" s="17"/>
      <x:c r="D104" s="17"/>
      <x:c r="E104" s="17"/>
      <x:c r="F104" s="17"/>
      <x:c r="G104" s="17"/>
      <x:c r="H104" s="34"/>
      <x:c r="I104" s="34"/>
      <x:c r="J104" s="17"/>
      <x:c r="K104" s="17"/>
      <x:c r="L104" s="17"/>
      <x:c r="M104" s="34"/>
      <x:c r="N104" s="17"/>
    </x:row>
    <x:row r="105" ht="28" customHeight="1">
      <x:c r="A105" s="17"/>
      <x:c r="B105" s="17"/>
      <x:c r="C105" s="17"/>
      <x:c r="D105" s="17"/>
      <x:c r="E105" s="17"/>
      <x:c r="F105" s="17"/>
      <x:c r="G105" s="17"/>
      <x:c r="H105" s="34"/>
      <x:c r="I105" s="34"/>
      <x:c r="J105" s="17"/>
      <x:c r="K105" s="17"/>
      <x:c r="L105" s="17"/>
      <x:c r="M105" s="34"/>
      <x:c r="N105" s="17"/>
    </x:row>
    <x:row r="106" ht="28" customHeight="1">
      <x:c r="A106" s="17"/>
      <x:c r="B106" s="17"/>
      <x:c r="C106" s="17"/>
      <x:c r="D106" s="17"/>
      <x:c r="E106" s="17"/>
      <x:c r="F106" s="17"/>
      <x:c r="G106" s="17"/>
      <x:c r="H106" s="34"/>
      <x:c r="I106" s="34"/>
      <x:c r="J106" s="17"/>
      <x:c r="K106" s="17"/>
      <x:c r="L106" s="17"/>
      <x:c r="M106" s="34"/>
      <x:c r="N106" s="17"/>
    </x:row>
    <x:row r="107" ht="28" customHeight="1">
      <x:c r="A107" s="17"/>
      <x:c r="B107" s="17"/>
      <x:c r="C107" s="17"/>
      <x:c r="D107" s="17"/>
      <x:c r="E107" s="17"/>
      <x:c r="F107" s="17"/>
      <x:c r="G107" s="17"/>
      <x:c r="H107" s="34"/>
      <x:c r="I107" s="34"/>
      <x:c r="J107" s="17"/>
      <x:c r="K107" s="17"/>
      <x:c r="L107" s="17"/>
      <x:c r="M107" s="34"/>
      <x:c r="N107" s="17"/>
    </x:row>
    <x:row r="108" ht="28" customHeight="1">
      <x:c r="A108" s="17"/>
      <x:c r="B108" s="17"/>
      <x:c r="C108" s="17"/>
      <x:c r="D108" s="17"/>
      <x:c r="E108" s="17"/>
      <x:c r="F108" s="17"/>
      <x:c r="G108" s="17"/>
      <x:c r="H108" s="34"/>
      <x:c r="I108" s="34"/>
      <x:c r="J108" s="17"/>
      <x:c r="K108" s="17"/>
      <x:c r="L108" s="17"/>
      <x:c r="M108" s="34"/>
      <x:c r="N108" s="17"/>
    </x:row>
    <x:row r="109" ht="28" customHeight="1">
      <x:c r="A109" s="17"/>
      <x:c r="B109" s="17"/>
      <x:c r="C109" s="17"/>
      <x:c r="D109" s="17"/>
      <x:c r="E109" s="17"/>
      <x:c r="F109" s="17"/>
      <x:c r="G109" s="17"/>
      <x:c r="H109" s="34"/>
      <x:c r="I109" s="34"/>
      <x:c r="J109" s="17"/>
      <x:c r="K109" s="17"/>
      <x:c r="L109" s="17"/>
      <x:c r="M109" s="34"/>
      <x:c r="N109" s="17"/>
    </x:row>
    <x:row r="110" ht="28" customHeight="1">
      <x:c r="A110" s="17"/>
      <x:c r="B110" s="17"/>
      <x:c r="C110" s="17"/>
      <x:c r="D110" s="17"/>
      <x:c r="E110" s="17"/>
      <x:c r="F110" s="17"/>
      <x:c r="G110" s="17"/>
      <x:c r="H110" s="34"/>
      <x:c r="I110" s="34"/>
      <x:c r="J110" s="17"/>
      <x:c r="K110" s="17"/>
      <x:c r="L110" s="17"/>
      <x:c r="M110" s="34"/>
      <x:c r="N110" s="17"/>
    </x:row>
    <x:row r="111" ht="28" customHeight="1">
      <x:c r="A111" s="17"/>
      <x:c r="B111" s="17"/>
      <x:c r="C111" s="17"/>
      <x:c r="D111" s="17"/>
      <x:c r="E111" s="17"/>
      <x:c r="F111" s="17"/>
      <x:c r="G111" s="17"/>
      <x:c r="H111" s="34"/>
      <x:c r="I111" s="34"/>
      <x:c r="J111" s="17"/>
      <x:c r="K111" s="17"/>
      <x:c r="L111" s="17"/>
      <x:c r="M111" s="34"/>
      <x:c r="N111" s="17"/>
    </x:row>
    <x:row r="112" ht="28" customHeight="1">
      <x:c r="A112" s="17"/>
      <x:c r="B112" s="17"/>
      <x:c r="C112" s="17"/>
      <x:c r="D112" s="17"/>
      <x:c r="E112" s="17"/>
      <x:c r="F112" s="17"/>
      <x:c r="G112" s="17"/>
      <x:c r="H112" s="34"/>
      <x:c r="I112" s="34"/>
      <x:c r="J112" s="17"/>
      <x:c r="K112" s="17"/>
      <x:c r="L112" s="17"/>
      <x:c r="M112" s="34"/>
      <x:c r="N112" s="17"/>
    </x:row>
    <x:row r="113" ht="28" customHeight="1">
      <x:c r="A113" s="17"/>
      <x:c r="B113" s="17"/>
      <x:c r="C113" s="17"/>
      <x:c r="D113" s="17"/>
      <x:c r="E113" s="17"/>
      <x:c r="F113" s="17"/>
      <x:c r="G113" s="17"/>
      <x:c r="H113" s="34"/>
      <x:c r="I113" s="34"/>
      <x:c r="J113" s="17"/>
      <x:c r="K113" s="17"/>
      <x:c r="L113" s="17"/>
      <x:c r="M113" s="34"/>
      <x:c r="N113" s="17"/>
    </x:row>
    <x:row r="114" ht="28" customHeight="1">
      <x:c r="A114" s="17"/>
      <x:c r="B114" s="17"/>
      <x:c r="C114" s="17"/>
      <x:c r="D114" s="17"/>
      <x:c r="E114" s="17"/>
      <x:c r="F114" s="17"/>
      <x:c r="G114" s="17"/>
      <x:c r="H114" s="34"/>
      <x:c r="I114" s="34"/>
      <x:c r="J114" s="17"/>
      <x:c r="K114" s="17"/>
      <x:c r="L114" s="17"/>
      <x:c r="M114" s="34"/>
      <x:c r="N114" s="17"/>
    </x:row>
    <x:row r="115" ht="28" customHeight="1">
      <x:c r="A115" s="17"/>
      <x:c r="B115" s="17"/>
      <x:c r="C115" s="17"/>
      <x:c r="D115" s="17"/>
      <x:c r="E115" s="17"/>
      <x:c r="F115" s="17"/>
      <x:c r="G115" s="17"/>
      <x:c r="H115" s="34"/>
      <x:c r="I115" s="34"/>
      <x:c r="J115" s="17"/>
      <x:c r="K115" s="17"/>
      <x:c r="L115" s="17"/>
      <x:c r="M115" s="34"/>
      <x:c r="N115" s="17"/>
    </x:row>
    <x:row r="116" ht="28" customHeight="1">
      <x:c r="A116" s="17"/>
      <x:c r="B116" s="17"/>
      <x:c r="C116" s="17"/>
      <x:c r="D116" s="17"/>
      <x:c r="E116" s="17"/>
      <x:c r="F116" s="17"/>
      <x:c r="G116" s="17"/>
      <x:c r="H116" s="34"/>
      <x:c r="I116" s="34"/>
      <x:c r="J116" s="17"/>
      <x:c r="K116" s="17"/>
      <x:c r="L116" s="17"/>
      <x:c r="M116" s="34"/>
      <x:c r="N116" s="17"/>
    </x:row>
    <x:row r="117" ht="28" customHeight="1">
      <x:c r="A117" s="17"/>
      <x:c r="B117" s="17"/>
      <x:c r="C117" s="17"/>
      <x:c r="D117" s="17"/>
      <x:c r="E117" s="17"/>
      <x:c r="F117" s="17"/>
      <x:c r="G117" s="17"/>
      <x:c r="H117" s="34"/>
      <x:c r="I117" s="34"/>
      <x:c r="J117" s="17"/>
      <x:c r="K117" s="17"/>
      <x:c r="L117" s="17"/>
      <x:c r="M117" s="34"/>
      <x:c r="N117" s="17"/>
    </x:row>
    <x:row r="118" ht="28" customHeight="1">
      <x:c r="A118" s="17"/>
      <x:c r="B118" s="17"/>
      <x:c r="C118" s="17"/>
      <x:c r="D118" s="17"/>
      <x:c r="E118" s="17"/>
      <x:c r="F118" s="17"/>
      <x:c r="G118" s="17"/>
      <x:c r="H118" s="34"/>
      <x:c r="I118" s="34"/>
      <x:c r="J118" s="17"/>
      <x:c r="K118" s="17"/>
      <x:c r="L118" s="17"/>
      <x:c r="M118" s="34"/>
      <x:c r="N118" s="17"/>
    </x:row>
    <x:row r="119" ht="28" customHeight="1">
      <x:c r="A119" s="17"/>
      <x:c r="B119" s="17"/>
      <x:c r="C119" s="17"/>
      <x:c r="D119" s="17"/>
      <x:c r="E119" s="17"/>
      <x:c r="F119" s="17"/>
      <x:c r="G119" s="17"/>
      <x:c r="H119" s="34"/>
      <x:c r="I119" s="34"/>
      <x:c r="J119" s="17"/>
      <x:c r="K119" s="17"/>
      <x:c r="L119" s="17"/>
      <x:c r="M119" s="34"/>
      <x:c r="N119" s="17"/>
    </x:row>
    <x:row r="120" ht="28" customHeight="1">
      <x:c r="A120" s="17"/>
      <x:c r="B120" s="17"/>
      <x:c r="C120" s="17"/>
      <x:c r="D120" s="17"/>
      <x:c r="E120" s="17"/>
      <x:c r="F120" s="17"/>
      <x:c r="G120" s="17"/>
      <x:c r="H120" s="34"/>
      <x:c r="I120" s="34"/>
      <x:c r="J120" s="17"/>
      <x:c r="K120" s="17"/>
      <x:c r="L120" s="17"/>
      <x:c r="M120" s="34"/>
      <x:c r="N120" s="17"/>
    </x:row>
    <x:row r="121" ht="28" customHeight="1">
      <x:c r="A121" s="17"/>
      <x:c r="B121" s="17"/>
      <x:c r="C121" s="17"/>
      <x:c r="D121" s="17"/>
      <x:c r="E121" s="17"/>
      <x:c r="F121" s="17"/>
      <x:c r="G121" s="17"/>
      <x:c r="H121" s="34"/>
      <x:c r="I121" s="34"/>
      <x:c r="J121" s="17"/>
      <x:c r="K121" s="17"/>
      <x:c r="L121" s="17"/>
      <x:c r="M121" s="34"/>
      <x:c r="N121" s="17"/>
    </x:row>
    <x:row r="122" ht="28" customHeight="1">
      <x:c r="A122" s="17"/>
      <x:c r="B122" s="17"/>
      <x:c r="C122" s="17"/>
      <x:c r="D122" s="17"/>
      <x:c r="E122" s="17"/>
      <x:c r="F122" s="17"/>
      <x:c r="G122" s="17"/>
      <x:c r="H122" s="34"/>
      <x:c r="I122" s="34"/>
      <x:c r="J122" s="17"/>
      <x:c r="K122" s="17"/>
      <x:c r="L122" s="17"/>
      <x:c r="M122" s="34"/>
      <x:c r="N122" s="17"/>
    </x:row>
    <x:row r="123" ht="28" customHeight="1">
      <x:c r="A123" s="17"/>
      <x:c r="B123" s="17"/>
      <x:c r="C123" s="17"/>
      <x:c r="D123" s="17"/>
      <x:c r="E123" s="17"/>
      <x:c r="F123" s="17"/>
      <x:c r="G123" s="17"/>
      <x:c r="H123" s="34"/>
      <x:c r="I123" s="34"/>
      <x:c r="J123" s="17"/>
      <x:c r="K123" s="17"/>
      <x:c r="L123" s="17"/>
      <x:c r="M123" s="34"/>
      <x:c r="N123" s="17"/>
    </x:row>
    <x:row r="124" ht="28" customHeight="1">
      <x:c r="A124" s="17"/>
      <x:c r="B124" s="17"/>
      <x:c r="C124" s="17"/>
      <x:c r="D124" s="17"/>
      <x:c r="E124" s="17"/>
      <x:c r="F124" s="17"/>
      <x:c r="G124" s="17"/>
      <x:c r="H124" s="34"/>
      <x:c r="I124" s="34"/>
      <x:c r="J124" s="17"/>
      <x:c r="K124" s="17"/>
      <x:c r="L124" s="17"/>
      <x:c r="M124" s="34"/>
      <x:c r="N124" s="17"/>
    </x:row>
    <x:row r="125" ht="28" customHeight="1">
      <x:c r="A125" s="17"/>
      <x:c r="B125" s="17"/>
      <x:c r="C125" s="17"/>
      <x:c r="D125" s="17"/>
      <x:c r="E125" s="17"/>
      <x:c r="F125" s="17"/>
      <x:c r="G125" s="17"/>
      <x:c r="H125" s="34"/>
      <x:c r="I125" s="34"/>
      <x:c r="J125" s="17"/>
      <x:c r="K125" s="17"/>
      <x:c r="L125" s="17"/>
      <x:c r="M125" s="34"/>
      <x:c r="N125" s="17"/>
    </x:row>
    <x:row r="126" ht="28" customHeight="1">
      <x:c r="A126" s="17"/>
      <x:c r="B126" s="17"/>
      <x:c r="C126" s="17"/>
      <x:c r="D126" s="17"/>
      <x:c r="E126" s="17"/>
      <x:c r="F126" s="17"/>
      <x:c r="G126" s="17"/>
      <x:c r="H126" s="34"/>
      <x:c r="I126" s="34"/>
      <x:c r="J126" s="17"/>
      <x:c r="K126" s="17"/>
      <x:c r="L126" s="17"/>
      <x:c r="M126" s="34"/>
      <x:c r="N126" s="17"/>
    </x:row>
    <x:row r="127" ht="28" customHeight="1">
      <x:c r="A127" s="17"/>
      <x:c r="B127" s="17"/>
      <x:c r="C127" s="17"/>
      <x:c r="D127" s="17"/>
      <x:c r="E127" s="17"/>
      <x:c r="F127" s="17"/>
      <x:c r="G127" s="17"/>
      <x:c r="H127" s="34"/>
      <x:c r="I127" s="34"/>
      <x:c r="J127" s="17"/>
      <x:c r="K127" s="17"/>
      <x:c r="L127" s="17"/>
      <x:c r="M127" s="34"/>
      <x:c r="N127" s="17"/>
    </x:row>
    <x:row r="128" ht="28" customHeight="1">
      <x:c r="A128" s="17"/>
      <x:c r="B128" s="17"/>
      <x:c r="C128" s="17"/>
      <x:c r="D128" s="17"/>
      <x:c r="E128" s="17"/>
      <x:c r="F128" s="17"/>
      <x:c r="G128" s="17"/>
      <x:c r="H128" s="34"/>
      <x:c r="I128" s="34"/>
      <x:c r="J128" s="17"/>
      <x:c r="K128" s="17"/>
      <x:c r="L128" s="17"/>
      <x:c r="M128" s="34"/>
      <x:c r="N128" s="17"/>
    </x:row>
    <x:row r="129" ht="28" customHeight="1">
      <x:c r="A129" s="17"/>
      <x:c r="B129" s="17"/>
      <x:c r="C129" s="17"/>
      <x:c r="D129" s="17"/>
      <x:c r="E129" s="17"/>
      <x:c r="F129" s="17"/>
      <x:c r="G129" s="17"/>
      <x:c r="H129" s="34"/>
      <x:c r="I129" s="34"/>
      <x:c r="J129" s="17"/>
      <x:c r="K129" s="17"/>
      <x:c r="L129" s="17"/>
      <x:c r="M129" s="34"/>
      <x:c r="N129" s="17"/>
    </x:row>
    <x:row r="130" ht="28" customHeight="1">
      <x:c r="A130" s="17"/>
      <x:c r="B130" s="17"/>
      <x:c r="C130" s="17"/>
      <x:c r="D130" s="17"/>
      <x:c r="E130" s="17"/>
      <x:c r="F130" s="17"/>
      <x:c r="G130" s="17"/>
      <x:c r="H130" s="34"/>
      <x:c r="I130" s="34"/>
      <x:c r="J130" s="17"/>
      <x:c r="K130" s="17"/>
      <x:c r="L130" s="17"/>
      <x:c r="M130" s="34"/>
      <x:c r="N130" s="17"/>
    </x:row>
    <x:row r="131" ht="28" customHeight="1">
      <x:c r="A131" s="17"/>
      <x:c r="B131" s="17"/>
      <x:c r="C131" s="17"/>
      <x:c r="D131" s="17"/>
      <x:c r="E131" s="17"/>
      <x:c r="F131" s="17"/>
      <x:c r="G131" s="17"/>
      <x:c r="H131" s="34"/>
      <x:c r="I131" s="34"/>
      <x:c r="J131" s="17"/>
      <x:c r="K131" s="17"/>
      <x:c r="L131" s="17"/>
      <x:c r="M131" s="34"/>
      <x:c r="N131" s="17"/>
    </x:row>
    <x:row r="132" ht="28" customHeight="1">
      <x:c r="A132" s="17"/>
      <x:c r="B132" s="17"/>
      <x:c r="C132" s="17"/>
      <x:c r="D132" s="17"/>
      <x:c r="E132" s="17"/>
      <x:c r="F132" s="17"/>
      <x:c r="G132" s="17"/>
      <x:c r="H132" s="34"/>
      <x:c r="I132" s="34"/>
      <x:c r="J132" s="17"/>
      <x:c r="K132" s="17"/>
      <x:c r="L132" s="17"/>
      <x:c r="M132" s="34"/>
      <x:c r="N132" s="17"/>
    </x:row>
    <x:row r="133" ht="28" customHeight="1">
      <x:c r="A133" s="17"/>
      <x:c r="B133" s="17"/>
      <x:c r="C133" s="17"/>
      <x:c r="D133" s="17"/>
      <x:c r="E133" s="17"/>
      <x:c r="F133" s="17"/>
      <x:c r="G133" s="17"/>
      <x:c r="H133" s="34"/>
      <x:c r="I133" s="34"/>
      <x:c r="J133" s="17"/>
      <x:c r="K133" s="17"/>
      <x:c r="L133" s="17"/>
      <x:c r="M133" s="34"/>
      <x:c r="N133" s="17"/>
    </x:row>
    <x:row r="134" ht="28" customHeight="1">
      <x:c r="A134" s="17"/>
      <x:c r="B134" s="17"/>
      <x:c r="C134" s="17"/>
      <x:c r="D134" s="17"/>
      <x:c r="E134" s="17"/>
      <x:c r="F134" s="17"/>
      <x:c r="G134" s="17"/>
      <x:c r="H134" s="34"/>
      <x:c r="I134" s="34"/>
      <x:c r="J134" s="17"/>
      <x:c r="K134" s="17"/>
      <x:c r="L134" s="17"/>
      <x:c r="M134" s="34"/>
      <x:c r="N134" s="17"/>
    </x:row>
    <x:row r="135" ht="28" customHeight="1">
      <x:c r="A135" s="17"/>
      <x:c r="B135" s="17"/>
      <x:c r="C135" s="17"/>
      <x:c r="D135" s="17"/>
      <x:c r="E135" s="17"/>
      <x:c r="F135" s="17"/>
      <x:c r="G135" s="17"/>
      <x:c r="H135" s="34"/>
      <x:c r="I135" s="34"/>
      <x:c r="J135" s="17"/>
      <x:c r="K135" s="17"/>
      <x:c r="L135" s="17"/>
      <x:c r="M135" s="34"/>
      <x:c r="N135" s="17"/>
    </x:row>
    <x:row r="136" ht="28" customHeight="1">
      <x:c r="A136" s="17"/>
      <x:c r="B136" s="17"/>
      <x:c r="C136" s="17"/>
      <x:c r="D136" s="17"/>
      <x:c r="E136" s="17"/>
      <x:c r="F136" s="17"/>
      <x:c r="G136" s="17"/>
      <x:c r="H136" s="34"/>
      <x:c r="I136" s="34"/>
      <x:c r="J136" s="17"/>
      <x:c r="K136" s="17"/>
      <x:c r="L136" s="17"/>
      <x:c r="M136" s="34"/>
      <x:c r="N136" s="17"/>
    </x:row>
    <x:row r="137" ht="28" customHeight="1">
      <x:c r="A137" s="17"/>
      <x:c r="B137" s="17"/>
      <x:c r="C137" s="17"/>
      <x:c r="D137" s="17"/>
      <x:c r="E137" s="17"/>
      <x:c r="F137" s="17"/>
      <x:c r="G137" s="17"/>
      <x:c r="H137" s="34"/>
      <x:c r="I137" s="34"/>
      <x:c r="J137" s="17"/>
      <x:c r="K137" s="17"/>
      <x:c r="L137" s="17"/>
      <x:c r="M137" s="34"/>
      <x:c r="N137" s="17"/>
    </x:row>
    <x:row r="138" ht="28" customHeight="1">
      <x:c r="A138" s="17"/>
      <x:c r="B138" s="17"/>
      <x:c r="C138" s="17"/>
      <x:c r="D138" s="17"/>
      <x:c r="E138" s="17"/>
      <x:c r="F138" s="17"/>
      <x:c r="G138" s="17"/>
      <x:c r="H138" s="34"/>
      <x:c r="I138" s="34"/>
      <x:c r="J138" s="17"/>
      <x:c r="K138" s="17"/>
      <x:c r="L138" s="17"/>
      <x:c r="M138" s="34"/>
      <x:c r="N138" s="17"/>
    </x:row>
    <x:row r="139" ht="28" customHeight="1">
      <x:c r="A139" s="17"/>
      <x:c r="B139" s="17"/>
      <x:c r="C139" s="17"/>
      <x:c r="D139" s="17"/>
      <x:c r="E139" s="17"/>
      <x:c r="F139" s="17"/>
      <x:c r="G139" s="17"/>
      <x:c r="H139" s="34"/>
      <x:c r="I139" s="34"/>
      <x:c r="J139" s="17"/>
      <x:c r="K139" s="17"/>
      <x:c r="L139" s="17"/>
      <x:c r="M139" s="34"/>
      <x:c r="N139" s="17"/>
    </x:row>
    <x:row r="140" ht="28" customHeight="1">
      <x:c r="A140" s="17"/>
      <x:c r="B140" s="17"/>
      <x:c r="C140" s="17"/>
      <x:c r="D140" s="17"/>
      <x:c r="E140" s="17"/>
      <x:c r="F140" s="17"/>
      <x:c r="G140" s="17"/>
      <x:c r="H140" s="34"/>
      <x:c r="I140" s="34"/>
      <x:c r="J140" s="17"/>
      <x:c r="K140" s="17"/>
      <x:c r="L140" s="17"/>
      <x:c r="M140" s="34"/>
      <x:c r="N140" s="17"/>
    </x:row>
    <x:row r="141" ht="28" customHeight="1">
      <x:c r="A141" s="17"/>
      <x:c r="B141" s="17"/>
      <x:c r="C141" s="17"/>
      <x:c r="D141" s="17"/>
      <x:c r="E141" s="17"/>
      <x:c r="F141" s="17"/>
      <x:c r="G141" s="17"/>
      <x:c r="H141" s="34"/>
      <x:c r="I141" s="34"/>
      <x:c r="J141" s="17"/>
      <x:c r="K141" s="17"/>
      <x:c r="L141" s="17"/>
      <x:c r="M141" s="34"/>
      <x:c r="N141" s="17"/>
    </x:row>
    <x:row r="142" ht="28" customHeight="1">
      <x:c r="A142" s="17"/>
      <x:c r="B142" s="17"/>
      <x:c r="C142" s="17"/>
      <x:c r="D142" s="17"/>
      <x:c r="E142" s="17"/>
      <x:c r="F142" s="17"/>
      <x:c r="G142" s="17"/>
      <x:c r="H142" s="34"/>
      <x:c r="I142" s="34"/>
      <x:c r="J142" s="17"/>
      <x:c r="K142" s="17"/>
      <x:c r="L142" s="17"/>
      <x:c r="M142" s="34"/>
      <x:c r="N142" s="17"/>
    </x:row>
    <x:row r="143" ht="28" customHeight="1">
      <x:c r="A143" s="17"/>
      <x:c r="B143" s="17"/>
      <x:c r="C143" s="17"/>
      <x:c r="D143" s="17"/>
      <x:c r="E143" s="17"/>
      <x:c r="F143" s="17"/>
      <x:c r="G143" s="17"/>
      <x:c r="H143" s="34"/>
      <x:c r="I143" s="34"/>
      <x:c r="J143" s="17"/>
      <x:c r="K143" s="17"/>
      <x:c r="L143" s="17"/>
      <x:c r="M143" s="34"/>
      <x:c r="N143" s="17"/>
    </x:row>
    <x:row r="144" ht="28" customHeight="1">
      <x:c r="A144" s="17"/>
      <x:c r="B144" s="17"/>
      <x:c r="C144" s="17"/>
      <x:c r="D144" s="17"/>
      <x:c r="E144" s="17"/>
      <x:c r="F144" s="17"/>
      <x:c r="G144" s="17"/>
      <x:c r="H144" s="34"/>
      <x:c r="I144" s="34"/>
      <x:c r="J144" s="17"/>
      <x:c r="K144" s="17"/>
      <x:c r="L144" s="17"/>
      <x:c r="M144" s="34"/>
      <x:c r="N144" s="17"/>
    </x:row>
    <x:row r="145" ht="28" customHeight="1">
      <x:c r="A145" s="17"/>
      <x:c r="B145" s="17"/>
      <x:c r="C145" s="17"/>
      <x:c r="D145" s="17"/>
      <x:c r="E145" s="17"/>
      <x:c r="F145" s="17"/>
      <x:c r="G145" s="17"/>
      <x:c r="H145" s="34"/>
      <x:c r="I145" s="34"/>
      <x:c r="J145" s="17"/>
      <x:c r="K145" s="17"/>
      <x:c r="L145" s="17"/>
      <x:c r="M145" s="34"/>
      <x:c r="N145" s="17"/>
    </x:row>
    <x:row r="146" ht="28" customHeight="1">
      <x:c r="A146" s="17"/>
      <x:c r="B146" s="17"/>
      <x:c r="C146" s="17"/>
      <x:c r="D146" s="17"/>
      <x:c r="E146" s="17"/>
      <x:c r="F146" s="17"/>
      <x:c r="G146" s="17"/>
      <x:c r="H146" s="34"/>
      <x:c r="I146" s="34"/>
      <x:c r="J146" s="17"/>
      <x:c r="K146" s="17"/>
      <x:c r="L146" s="17"/>
      <x:c r="M146" s="34"/>
      <x:c r="N146" s="17"/>
    </x:row>
    <x:row r="147" ht="28" customHeight="1">
      <x:c r="A147" s="17"/>
      <x:c r="B147" s="17"/>
      <x:c r="C147" s="17"/>
      <x:c r="D147" s="17"/>
      <x:c r="E147" s="17"/>
      <x:c r="F147" s="17"/>
      <x:c r="G147" s="17"/>
      <x:c r="H147" s="34"/>
      <x:c r="I147" s="34"/>
      <x:c r="J147" s="17"/>
      <x:c r="K147" s="17"/>
      <x:c r="L147" s="17"/>
      <x:c r="M147" s="34"/>
      <x:c r="N147" s="17"/>
    </x:row>
    <x:row r="148" ht="28" customHeight="1">
      <x:c r="A148" s="17"/>
      <x:c r="B148" s="17"/>
      <x:c r="C148" s="17"/>
      <x:c r="D148" s="17"/>
      <x:c r="E148" s="17"/>
      <x:c r="F148" s="17"/>
      <x:c r="G148" s="17"/>
      <x:c r="H148" s="34"/>
      <x:c r="I148" s="34"/>
      <x:c r="J148" s="17"/>
      <x:c r="K148" s="17"/>
      <x:c r="L148" s="17"/>
      <x:c r="M148" s="34"/>
      <x:c r="N148" s="17"/>
    </x:row>
    <x:row r="149" ht="28" customHeight="1">
      <x:c r="A149" s="17"/>
      <x:c r="B149" s="17"/>
      <x:c r="C149" s="17"/>
      <x:c r="D149" s="17"/>
      <x:c r="E149" s="17"/>
      <x:c r="F149" s="17"/>
      <x:c r="G149" s="17"/>
      <x:c r="H149" s="34"/>
      <x:c r="I149" s="34"/>
      <x:c r="J149" s="17"/>
      <x:c r="K149" s="17"/>
      <x:c r="L149" s="17"/>
      <x:c r="M149" s="34"/>
      <x:c r="N149" s="17"/>
    </x:row>
    <x:row r="150" ht="28" customHeight="1">
      <x:c r="A150" s="17"/>
      <x:c r="B150" s="17"/>
      <x:c r="C150" s="17"/>
      <x:c r="D150" s="17"/>
      <x:c r="E150" s="17"/>
      <x:c r="F150" s="17"/>
      <x:c r="G150" s="17"/>
      <x:c r="H150" s="34"/>
      <x:c r="I150" s="34"/>
      <x:c r="J150" s="17"/>
      <x:c r="K150" s="17"/>
      <x:c r="L150" s="17"/>
      <x:c r="M150" s="34"/>
      <x:c r="N150" s="17"/>
    </x:row>
    <x:row r="151" ht="28" customHeight="1">
      <x:c r="A151" s="17"/>
      <x:c r="B151" s="17"/>
      <x:c r="C151" s="17"/>
      <x:c r="D151" s="17"/>
      <x:c r="E151" s="17"/>
      <x:c r="F151" s="17"/>
      <x:c r="G151" s="17"/>
      <x:c r="H151" s="34"/>
      <x:c r="I151" s="34"/>
      <x:c r="J151" s="17"/>
      <x:c r="K151" s="17"/>
      <x:c r="L151" s="17"/>
      <x:c r="M151" s="34"/>
      <x:c r="N151" s="17"/>
    </x:row>
    <x:row r="152" ht="28" customHeight="1">
      <x:c r="A152" s="17"/>
      <x:c r="B152" s="17"/>
      <x:c r="C152" s="17"/>
      <x:c r="D152" s="17"/>
      <x:c r="E152" s="17"/>
      <x:c r="F152" s="17"/>
      <x:c r="G152" s="17"/>
      <x:c r="H152" s="34"/>
      <x:c r="I152" s="34"/>
      <x:c r="J152" s="17"/>
      <x:c r="K152" s="17"/>
      <x:c r="L152" s="17"/>
      <x:c r="M152" s="34"/>
      <x:c r="N152" s="17"/>
    </x:row>
    <x:row r="153" ht="28" customHeight="1">
      <x:c r="A153" s="17"/>
      <x:c r="B153" s="17"/>
      <x:c r="C153" s="17"/>
      <x:c r="D153" s="17"/>
      <x:c r="E153" s="17"/>
      <x:c r="F153" s="17"/>
      <x:c r="G153" s="17"/>
      <x:c r="H153" s="34"/>
      <x:c r="I153" s="34"/>
      <x:c r="J153" s="17"/>
      <x:c r="K153" s="17"/>
      <x:c r="L153" s="17"/>
      <x:c r="M153" s="34"/>
      <x:c r="N153" s="17"/>
    </x:row>
    <x:row r="154" ht="28" customHeight="1">
      <x:c r="A154" s="17"/>
      <x:c r="B154" s="17"/>
      <x:c r="C154" s="17"/>
      <x:c r="D154" s="17"/>
      <x:c r="E154" s="17"/>
      <x:c r="F154" s="17"/>
      <x:c r="G154" s="17"/>
      <x:c r="H154" s="34"/>
      <x:c r="I154" s="34"/>
      <x:c r="J154" s="17"/>
      <x:c r="K154" s="17"/>
      <x:c r="L154" s="17"/>
      <x:c r="M154" s="34"/>
      <x:c r="N154" s="17"/>
    </x:row>
    <x:row r="155" ht="28" customHeight="1">
      <x:c r="A155" s="17"/>
      <x:c r="B155" s="17"/>
      <x:c r="C155" s="17"/>
      <x:c r="D155" s="17"/>
      <x:c r="E155" s="17"/>
      <x:c r="F155" s="17"/>
      <x:c r="G155" s="17"/>
      <x:c r="H155" s="34"/>
      <x:c r="I155" s="34"/>
      <x:c r="J155" s="17"/>
      <x:c r="K155" s="17"/>
      <x:c r="L155" s="17"/>
      <x:c r="M155" s="34"/>
      <x:c r="N155" s="17"/>
    </x:row>
    <x:row r="156" ht="28" customHeight="1">
      <x:c r="A156" s="17"/>
      <x:c r="B156" s="17"/>
      <x:c r="C156" s="17"/>
      <x:c r="D156" s="17"/>
      <x:c r="E156" s="17"/>
      <x:c r="F156" s="17"/>
      <x:c r="G156" s="17"/>
      <x:c r="H156" s="34"/>
      <x:c r="I156" s="34"/>
      <x:c r="J156" s="17"/>
      <x:c r="K156" s="17"/>
      <x:c r="L156" s="17"/>
      <x:c r="M156" s="34"/>
      <x:c r="N156" s="17"/>
    </x:row>
    <x:row r="157" ht="28" customHeight="1">
      <x:c r="A157" s="17"/>
      <x:c r="B157" s="17"/>
      <x:c r="C157" s="17"/>
      <x:c r="D157" s="17"/>
      <x:c r="E157" s="17"/>
      <x:c r="F157" s="17"/>
      <x:c r="G157" s="17"/>
      <x:c r="H157" s="34"/>
      <x:c r="I157" s="34"/>
      <x:c r="J157" s="17"/>
      <x:c r="K157" s="17"/>
      <x:c r="L157" s="17"/>
      <x:c r="M157" s="34"/>
      <x:c r="N157" s="17"/>
    </x:row>
    <x:row r="158" ht="28" customHeight="1">
      <x:c r="A158" s="17"/>
      <x:c r="B158" s="17"/>
      <x:c r="C158" s="17"/>
      <x:c r="D158" s="17"/>
      <x:c r="E158" s="17"/>
      <x:c r="F158" s="17"/>
      <x:c r="G158" s="17"/>
      <x:c r="H158" s="34"/>
      <x:c r="I158" s="34"/>
      <x:c r="J158" s="17"/>
      <x:c r="K158" s="17"/>
      <x:c r="L158" s="17"/>
      <x:c r="M158" s="34"/>
      <x:c r="N158" s="17"/>
    </x:row>
    <x:row r="159" ht="28" customHeight="1">
      <x:c r="A159" s="17"/>
      <x:c r="B159" s="17"/>
      <x:c r="C159" s="17"/>
      <x:c r="D159" s="17"/>
      <x:c r="E159" s="17"/>
      <x:c r="F159" s="17"/>
      <x:c r="G159" s="17"/>
      <x:c r="H159" s="34"/>
      <x:c r="I159" s="34"/>
      <x:c r="J159" s="17"/>
      <x:c r="K159" s="17"/>
      <x:c r="L159" s="17"/>
      <x:c r="M159" s="34"/>
      <x:c r="N159" s="17"/>
    </x:row>
    <x:row r="160" ht="28" customHeight="1">
      <x:c r="A160" s="17"/>
      <x:c r="B160" s="17"/>
      <x:c r="C160" s="17"/>
      <x:c r="D160" s="17"/>
      <x:c r="E160" s="17"/>
      <x:c r="F160" s="17"/>
      <x:c r="G160" s="17"/>
      <x:c r="H160" s="34"/>
      <x:c r="I160" s="34"/>
      <x:c r="J160" s="17"/>
      <x:c r="K160" s="17"/>
      <x:c r="L160" s="17"/>
      <x:c r="M160" s="34"/>
      <x:c r="N160" s="17"/>
    </x:row>
    <x:row r="161" ht="28" customHeight="1">
      <x:c r="A161" s="17"/>
      <x:c r="B161" s="17"/>
      <x:c r="C161" s="17"/>
      <x:c r="D161" s="17"/>
      <x:c r="E161" s="17"/>
      <x:c r="F161" s="17"/>
      <x:c r="G161" s="17"/>
      <x:c r="H161" s="34"/>
      <x:c r="I161" s="34"/>
      <x:c r="J161" s="17"/>
      <x:c r="K161" s="17"/>
      <x:c r="L161" s="17"/>
      <x:c r="M161" s="34"/>
      <x:c r="N161" s="17"/>
    </x:row>
    <x:row r="162" ht="28" customHeight="1">
      <x:c r="A162" s="17"/>
      <x:c r="B162" s="17"/>
      <x:c r="C162" s="17"/>
      <x:c r="D162" s="17"/>
      <x:c r="E162" s="17"/>
      <x:c r="F162" s="17"/>
      <x:c r="G162" s="17"/>
      <x:c r="H162" s="34"/>
      <x:c r="I162" s="34"/>
      <x:c r="J162" s="17"/>
      <x:c r="K162" s="17"/>
      <x:c r="L162" s="17"/>
      <x:c r="M162" s="34"/>
      <x:c r="N162" s="17"/>
    </x:row>
    <x:row r="163" ht="28" customHeight="1">
      <x:c r="A163" s="17"/>
      <x:c r="B163" s="17"/>
      <x:c r="C163" s="17"/>
      <x:c r="D163" s="17"/>
      <x:c r="E163" s="17"/>
      <x:c r="F163" s="17"/>
      <x:c r="G163" s="17"/>
      <x:c r="H163" s="34"/>
      <x:c r="I163" s="34"/>
      <x:c r="J163" s="17"/>
      <x:c r="K163" s="17"/>
      <x:c r="L163" s="17"/>
      <x:c r="M163" s="34"/>
      <x:c r="N163" s="17"/>
    </x:row>
    <x:row r="164" ht="28" customHeight="1">
      <x:c r="A164" s="17"/>
      <x:c r="B164" s="17"/>
      <x:c r="C164" s="17"/>
      <x:c r="D164" s="17"/>
      <x:c r="E164" s="17"/>
      <x:c r="F164" s="17"/>
      <x:c r="G164" s="17"/>
      <x:c r="H164" s="34"/>
      <x:c r="I164" s="34"/>
      <x:c r="J164" s="17"/>
      <x:c r="K164" s="17"/>
      <x:c r="L164" s="17"/>
      <x:c r="M164" s="34"/>
      <x:c r="N164" s="17"/>
    </x:row>
    <x:row r="165" ht="28" customHeight="1">
      <x:c r="A165" s="17"/>
      <x:c r="B165" s="17"/>
      <x:c r="C165" s="17"/>
      <x:c r="D165" s="17"/>
      <x:c r="E165" s="17"/>
      <x:c r="F165" s="17"/>
      <x:c r="G165" s="17"/>
      <x:c r="H165" s="34"/>
      <x:c r="I165" s="34"/>
      <x:c r="J165" s="17"/>
      <x:c r="K165" s="17"/>
      <x:c r="L165" s="17"/>
      <x:c r="M165" s="34"/>
      <x:c r="N165" s="17"/>
    </x:row>
    <x:row r="166" ht="28" customHeight="1">
      <x:c r="A166" s="17"/>
      <x:c r="B166" s="17"/>
      <x:c r="C166" s="17"/>
      <x:c r="D166" s="17"/>
      <x:c r="E166" s="17"/>
      <x:c r="F166" s="17"/>
      <x:c r="G166" s="17"/>
      <x:c r="H166" s="34"/>
      <x:c r="I166" s="34"/>
      <x:c r="J166" s="17"/>
      <x:c r="K166" s="17"/>
      <x:c r="L166" s="17"/>
      <x:c r="M166" s="34"/>
      <x:c r="N166" s="17"/>
    </x:row>
    <x:row r="167" ht="28" customHeight="1">
      <x:c r="A167" s="17"/>
      <x:c r="B167" s="17"/>
      <x:c r="C167" s="17"/>
      <x:c r="D167" s="17"/>
      <x:c r="E167" s="17"/>
      <x:c r="F167" s="17"/>
      <x:c r="G167" s="17"/>
      <x:c r="H167" s="34"/>
      <x:c r="I167" s="34"/>
      <x:c r="J167" s="17"/>
      <x:c r="K167" s="17"/>
      <x:c r="L167" s="17"/>
      <x:c r="M167" s="34"/>
      <x:c r="N167" s="17"/>
    </x:row>
    <x:row r="168" ht="28" customHeight="1">
      <x:c r="A168" s="17"/>
      <x:c r="B168" s="17"/>
      <x:c r="C168" s="17"/>
      <x:c r="D168" s="17"/>
      <x:c r="E168" s="17"/>
      <x:c r="F168" s="17"/>
      <x:c r="G168" s="17"/>
      <x:c r="H168" s="34"/>
      <x:c r="I168" s="34"/>
      <x:c r="J168" s="17"/>
      <x:c r="K168" s="17"/>
      <x:c r="L168" s="17"/>
      <x:c r="M168" s="34"/>
      <x:c r="N168" s="17"/>
    </x:row>
    <x:row r="169" ht="28" customHeight="1">
      <x:c r="A169" s="17"/>
      <x:c r="B169" s="17"/>
      <x:c r="C169" s="17"/>
      <x:c r="D169" s="17"/>
      <x:c r="E169" s="17"/>
      <x:c r="F169" s="17"/>
      <x:c r="G169" s="17"/>
      <x:c r="H169" s="34"/>
      <x:c r="I169" s="34"/>
      <x:c r="J169" s="17"/>
      <x:c r="K169" s="17"/>
      <x:c r="L169" s="17"/>
      <x:c r="M169" s="34"/>
      <x:c r="N169" s="17"/>
    </x:row>
    <x:row r="170" ht="28" customHeight="1">
      <x:c r="A170" s="17"/>
      <x:c r="B170" s="17"/>
      <x:c r="C170" s="17"/>
      <x:c r="D170" s="17"/>
      <x:c r="E170" s="17"/>
      <x:c r="F170" s="17"/>
      <x:c r="G170" s="17"/>
      <x:c r="H170" s="34"/>
      <x:c r="I170" s="34"/>
      <x:c r="J170" s="17"/>
      <x:c r="K170" s="17"/>
      <x:c r="L170" s="17"/>
      <x:c r="M170" s="34"/>
      <x:c r="N170" s="17"/>
    </x:row>
    <x:row r="171" ht="28" customHeight="1">
      <x:c r="A171" s="17"/>
      <x:c r="B171" s="17"/>
      <x:c r="C171" s="17"/>
      <x:c r="D171" s="17"/>
      <x:c r="E171" s="17"/>
      <x:c r="F171" s="17"/>
      <x:c r="G171" s="17"/>
      <x:c r="H171" s="34"/>
      <x:c r="I171" s="34"/>
      <x:c r="J171" s="17"/>
      <x:c r="K171" s="17"/>
      <x:c r="L171" s="17"/>
      <x:c r="M171" s="34"/>
      <x:c r="N171" s="17"/>
    </x:row>
    <x:row r="172" ht="28" customHeight="1">
      <x:c r="A172" s="17"/>
      <x:c r="B172" s="17"/>
      <x:c r="C172" s="17"/>
      <x:c r="D172" s="17"/>
      <x:c r="E172" s="17"/>
      <x:c r="F172" s="17"/>
      <x:c r="G172" s="17"/>
      <x:c r="H172" s="34"/>
      <x:c r="I172" s="34"/>
      <x:c r="J172" s="17"/>
      <x:c r="K172" s="17"/>
      <x:c r="L172" s="17"/>
      <x:c r="M172" s="34"/>
      <x:c r="N172" s="17"/>
    </x:row>
    <x:row r="173" ht="28" customHeight="1">
      <x:c r="A173" s="17"/>
      <x:c r="B173" s="17"/>
      <x:c r="C173" s="17"/>
      <x:c r="D173" s="17"/>
      <x:c r="E173" s="17"/>
      <x:c r="F173" s="17"/>
      <x:c r="G173" s="17"/>
      <x:c r="H173" s="34"/>
      <x:c r="I173" s="34"/>
      <x:c r="J173" s="17"/>
      <x:c r="K173" s="17"/>
      <x:c r="L173" s="17"/>
      <x:c r="M173" s="34"/>
      <x:c r="N173" s="17"/>
    </x:row>
    <x:row r="174" ht="28" customHeight="1">
      <x:c r="A174" s="17"/>
      <x:c r="B174" s="17"/>
      <x:c r="C174" s="17"/>
      <x:c r="D174" s="17"/>
      <x:c r="E174" s="17"/>
      <x:c r="F174" s="17"/>
      <x:c r="G174" s="17"/>
      <x:c r="H174" s="34"/>
      <x:c r="I174" s="34"/>
      <x:c r="J174" s="17"/>
      <x:c r="K174" s="17"/>
      <x:c r="L174" s="17"/>
      <x:c r="M174" s="34"/>
      <x:c r="N174" s="17"/>
    </x:row>
    <x:row r="175" ht="28" customHeight="1">
      <x:c r="A175" s="17"/>
      <x:c r="B175" s="17"/>
      <x:c r="C175" s="17"/>
      <x:c r="D175" s="17"/>
      <x:c r="E175" s="17"/>
      <x:c r="F175" s="17"/>
      <x:c r="G175" s="17"/>
      <x:c r="H175" s="34"/>
      <x:c r="I175" s="34"/>
      <x:c r="J175" s="17"/>
      <x:c r="K175" s="17"/>
      <x:c r="L175" s="17"/>
      <x:c r="M175" s="34"/>
      <x:c r="N175" s="17"/>
    </x:row>
    <x:row r="176" ht="28" customHeight="1">
      <x:c r="A176" s="17"/>
      <x:c r="B176" s="17"/>
      <x:c r="C176" s="17"/>
      <x:c r="D176" s="17"/>
      <x:c r="E176" s="17"/>
      <x:c r="F176" s="17"/>
      <x:c r="G176" s="17"/>
      <x:c r="H176" s="34"/>
      <x:c r="I176" s="34"/>
      <x:c r="J176" s="17"/>
      <x:c r="K176" s="17"/>
      <x:c r="L176" s="17"/>
      <x:c r="M176" s="34"/>
      <x:c r="N176" s="17"/>
    </x:row>
    <x:row r="177" ht="28" customHeight="1">
      <x:c r="A177" s="17"/>
      <x:c r="B177" s="17"/>
      <x:c r="C177" s="17"/>
      <x:c r="D177" s="17"/>
      <x:c r="E177" s="17"/>
      <x:c r="F177" s="17"/>
      <x:c r="G177" s="17"/>
      <x:c r="H177" s="34"/>
      <x:c r="I177" s="34"/>
      <x:c r="J177" s="17"/>
      <x:c r="K177" s="17"/>
      <x:c r="L177" s="17"/>
      <x:c r="M177" s="34"/>
      <x:c r="N177" s="17"/>
    </x:row>
    <x:row r="178" ht="28" customHeight="1">
      <x:c r="A178" s="17"/>
      <x:c r="B178" s="17"/>
      <x:c r="C178" s="17"/>
      <x:c r="D178" s="17"/>
      <x:c r="E178" s="17"/>
      <x:c r="F178" s="17"/>
      <x:c r="G178" s="17"/>
      <x:c r="H178" s="34"/>
      <x:c r="I178" s="34"/>
      <x:c r="J178" s="17"/>
      <x:c r="K178" s="17"/>
      <x:c r="L178" s="17"/>
      <x:c r="M178" s="34"/>
      <x:c r="N178" s="17"/>
    </x:row>
    <x:row r="179" ht="28" customHeight="1">
      <x:c r="A179" s="17"/>
      <x:c r="B179" s="17"/>
      <x:c r="C179" s="17"/>
      <x:c r="D179" s="17"/>
      <x:c r="E179" s="17"/>
      <x:c r="F179" s="17"/>
      <x:c r="G179" s="17"/>
      <x:c r="H179" s="34"/>
      <x:c r="I179" s="34"/>
      <x:c r="J179" s="17"/>
      <x:c r="K179" s="17"/>
      <x:c r="L179" s="17"/>
      <x:c r="M179" s="34"/>
      <x:c r="N179" s="17"/>
    </x:row>
    <x:row r="180" ht="28" customHeight="1">
      <x:c r="A180" s="17"/>
      <x:c r="B180" s="17"/>
      <x:c r="C180" s="17"/>
      <x:c r="D180" s="17"/>
      <x:c r="E180" s="17"/>
      <x:c r="F180" s="17"/>
      <x:c r="G180" s="17"/>
      <x:c r="H180" s="34"/>
      <x:c r="I180" s="34"/>
      <x:c r="J180" s="17"/>
      <x:c r="K180" s="17"/>
      <x:c r="L180" s="17"/>
      <x:c r="M180" s="34"/>
      <x:c r="N180" s="17"/>
    </x:row>
    <x:row r="181" ht="28" customHeight="1">
      <x:c r="A181" s="17"/>
      <x:c r="B181" s="17"/>
      <x:c r="C181" s="17"/>
      <x:c r="D181" s="17"/>
      <x:c r="E181" s="17"/>
      <x:c r="F181" s="17"/>
      <x:c r="G181" s="17"/>
      <x:c r="H181" s="34"/>
      <x:c r="I181" s="34"/>
      <x:c r="J181" s="17"/>
      <x:c r="K181" s="17"/>
      <x:c r="L181" s="17"/>
      <x:c r="M181" s="34"/>
      <x:c r="N181" s="17"/>
    </x:row>
    <x:row r="182" ht="28" customHeight="1">
      <x:c r="A182" s="17"/>
      <x:c r="B182" s="17"/>
      <x:c r="C182" s="17"/>
      <x:c r="D182" s="17"/>
      <x:c r="E182" s="17"/>
      <x:c r="F182" s="17"/>
      <x:c r="G182" s="17"/>
      <x:c r="H182" s="34"/>
      <x:c r="I182" s="34"/>
      <x:c r="J182" s="17"/>
      <x:c r="K182" s="17"/>
      <x:c r="L182" s="17"/>
      <x:c r="M182" s="34"/>
      <x:c r="N182" s="17"/>
    </x:row>
    <x:row r="183" ht="28" customHeight="1">
      <x:c r="A183" s="17"/>
      <x:c r="B183" s="17"/>
      <x:c r="C183" s="17"/>
      <x:c r="D183" s="17"/>
      <x:c r="E183" s="17"/>
      <x:c r="F183" s="17"/>
      <x:c r="G183" s="17"/>
      <x:c r="H183" s="34"/>
      <x:c r="I183" s="34"/>
      <x:c r="J183" s="17"/>
      <x:c r="K183" s="17"/>
      <x:c r="L183" s="17"/>
      <x:c r="M183" s="34"/>
      <x:c r="N183" s="17"/>
    </x:row>
    <x:row r="184" ht="28" customHeight="1">
      <x:c r="A184" s="17"/>
      <x:c r="B184" s="17"/>
      <x:c r="C184" s="17"/>
      <x:c r="D184" s="17"/>
      <x:c r="E184" s="17"/>
      <x:c r="F184" s="17"/>
      <x:c r="G184" s="17"/>
      <x:c r="H184" s="34"/>
      <x:c r="I184" s="34"/>
      <x:c r="J184" s="17"/>
      <x:c r="K184" s="17"/>
      <x:c r="L184" s="17"/>
      <x:c r="M184" s="34"/>
      <x:c r="N184" s="17"/>
    </x:row>
    <x:row r="185" ht="28" customHeight="1">
      <x:c r="A185" s="17"/>
      <x:c r="B185" s="17"/>
      <x:c r="C185" s="17"/>
      <x:c r="D185" s="17"/>
      <x:c r="E185" s="17"/>
      <x:c r="F185" s="17"/>
      <x:c r="G185" s="17"/>
      <x:c r="H185" s="34"/>
      <x:c r="I185" s="34"/>
      <x:c r="J185" s="17"/>
      <x:c r="K185" s="17"/>
      <x:c r="L185" s="17"/>
      <x:c r="M185" s="34"/>
      <x:c r="N185" s="17"/>
    </x:row>
    <x:row r="186" ht="28" customHeight="1">
      <x:c r="A186" s="17"/>
      <x:c r="B186" s="17"/>
      <x:c r="C186" s="17"/>
      <x:c r="D186" s="17"/>
      <x:c r="E186" s="17"/>
      <x:c r="F186" s="17"/>
      <x:c r="G186" s="17"/>
      <x:c r="H186" s="34"/>
      <x:c r="I186" s="34"/>
      <x:c r="J186" s="17"/>
      <x:c r="K186" s="17"/>
      <x:c r="L186" s="17"/>
      <x:c r="M186" s="34"/>
      <x:c r="N186" s="17"/>
    </x:row>
    <x:row r="187" ht="28" customHeight="1">
      <x:c r="A187" s="17"/>
      <x:c r="B187" s="17"/>
      <x:c r="C187" s="17"/>
      <x:c r="D187" s="17"/>
      <x:c r="E187" s="17"/>
      <x:c r="F187" s="17"/>
      <x:c r="G187" s="17"/>
      <x:c r="H187" s="34"/>
      <x:c r="I187" s="34"/>
      <x:c r="J187" s="17"/>
      <x:c r="K187" s="17"/>
      <x:c r="L187" s="17"/>
      <x:c r="M187" s="34"/>
      <x:c r="N187" s="17"/>
    </x:row>
    <x:row r="188" ht="28" customHeight="1">
      <x:c r="A188" s="17"/>
      <x:c r="B188" s="17"/>
      <x:c r="C188" s="17"/>
      <x:c r="D188" s="17"/>
      <x:c r="E188" s="17"/>
      <x:c r="F188" s="17"/>
      <x:c r="G188" s="17"/>
      <x:c r="H188" s="34"/>
      <x:c r="I188" s="34"/>
      <x:c r="J188" s="17"/>
      <x:c r="K188" s="17"/>
      <x:c r="L188" s="17"/>
      <x:c r="M188" s="34"/>
      <x:c r="N188" s="17"/>
    </x:row>
    <x:row r="189" ht="28" customHeight="1">
      <x:c r="A189" s="17"/>
      <x:c r="B189" s="17"/>
      <x:c r="C189" s="17"/>
      <x:c r="D189" s="17"/>
      <x:c r="E189" s="17"/>
      <x:c r="F189" s="17"/>
      <x:c r="G189" s="17"/>
      <x:c r="H189" s="34"/>
      <x:c r="I189" s="34"/>
      <x:c r="J189" s="17"/>
      <x:c r="K189" s="17"/>
      <x:c r="L189" s="17"/>
      <x:c r="M189" s="34"/>
      <x:c r="N189" s="17"/>
    </x:row>
    <x:row r="190" ht="28" customHeight="1">
      <x:c r="A190" s="17"/>
      <x:c r="B190" s="17"/>
      <x:c r="C190" s="17"/>
      <x:c r="D190" s="17"/>
      <x:c r="E190" s="17"/>
      <x:c r="F190" s="17"/>
      <x:c r="G190" s="17"/>
      <x:c r="H190" s="34"/>
      <x:c r="I190" s="34"/>
      <x:c r="J190" s="17"/>
      <x:c r="K190" s="17"/>
      <x:c r="L190" s="17"/>
      <x:c r="M190" s="34"/>
      <x:c r="N190" s="17"/>
    </x:row>
    <x:row r="191" ht="28" customHeight="1">
      <x:c r="A191" s="17"/>
      <x:c r="B191" s="17"/>
      <x:c r="C191" s="17"/>
      <x:c r="D191" s="17"/>
      <x:c r="E191" s="17"/>
      <x:c r="F191" s="17"/>
      <x:c r="G191" s="17"/>
      <x:c r="H191" s="34"/>
      <x:c r="I191" s="34"/>
      <x:c r="J191" s="17"/>
      <x:c r="K191" s="17"/>
      <x:c r="L191" s="17"/>
      <x:c r="M191" s="34"/>
      <x:c r="N191" s="17"/>
    </x:row>
    <x:row r="192" ht="28" customHeight="1">
      <x:c r="A192" s="17"/>
      <x:c r="B192" s="17"/>
      <x:c r="C192" s="17"/>
      <x:c r="D192" s="17"/>
      <x:c r="E192" s="17"/>
      <x:c r="F192" s="17"/>
      <x:c r="G192" s="17"/>
      <x:c r="H192" s="34"/>
      <x:c r="I192" s="34"/>
      <x:c r="J192" s="17"/>
      <x:c r="K192" s="17"/>
      <x:c r="L192" s="17"/>
      <x:c r="M192" s="34"/>
      <x:c r="N192" s="17"/>
    </x:row>
    <x:row r="193" ht="28" customHeight="1">
      <x:c r="A193" s="17"/>
      <x:c r="B193" s="17"/>
      <x:c r="C193" s="17"/>
      <x:c r="D193" s="17"/>
      <x:c r="E193" s="17"/>
      <x:c r="F193" s="17"/>
      <x:c r="G193" s="17"/>
      <x:c r="H193" s="34"/>
      <x:c r="I193" s="34"/>
      <x:c r="J193" s="17"/>
      <x:c r="K193" s="17"/>
      <x:c r="L193" s="17"/>
      <x:c r="M193" s="34"/>
      <x:c r="N193" s="17"/>
    </x:row>
    <x:row r="194" ht="28" customHeight="1">
      <x:c r="A194" s="17"/>
      <x:c r="B194" s="17"/>
      <x:c r="C194" s="17"/>
      <x:c r="D194" s="17"/>
      <x:c r="E194" s="17"/>
      <x:c r="F194" s="17"/>
      <x:c r="G194" s="17"/>
      <x:c r="H194" s="34"/>
      <x:c r="I194" s="34"/>
      <x:c r="J194" s="17"/>
      <x:c r="K194" s="17"/>
      <x:c r="L194" s="17"/>
      <x:c r="M194" s="34"/>
      <x:c r="N194" s="17"/>
    </x:row>
    <x:row r="195" ht="28" customHeight="1">
      <x:c r="A195" s="17"/>
      <x:c r="B195" s="17"/>
      <x:c r="C195" s="17"/>
      <x:c r="D195" s="17"/>
      <x:c r="E195" s="17"/>
      <x:c r="F195" s="17"/>
      <x:c r="G195" s="17"/>
      <x:c r="H195" s="34"/>
      <x:c r="I195" s="34"/>
      <x:c r="J195" s="17"/>
      <x:c r="K195" s="17"/>
      <x:c r="L195" s="17"/>
      <x:c r="M195" s="34"/>
      <x:c r="N195" s="17"/>
    </x:row>
    <x:row r="196" ht="28" customHeight="1">
      <x:c r="A196" s="17"/>
      <x:c r="B196" s="17"/>
      <x:c r="C196" s="17"/>
      <x:c r="D196" s="17"/>
      <x:c r="E196" s="17"/>
      <x:c r="F196" s="17"/>
      <x:c r="G196" s="17"/>
      <x:c r="H196" s="34"/>
      <x:c r="I196" s="34"/>
      <x:c r="J196" s="17"/>
      <x:c r="K196" s="17"/>
      <x:c r="L196" s="17"/>
      <x:c r="M196" s="34"/>
      <x:c r="N196" s="17"/>
    </x:row>
    <x:row r="197" ht="28" customHeight="1">
      <x:c r="A197" s="17"/>
      <x:c r="B197" s="17"/>
      <x:c r="C197" s="17"/>
      <x:c r="D197" s="17"/>
      <x:c r="E197" s="17"/>
      <x:c r="F197" s="17"/>
      <x:c r="G197" s="17"/>
      <x:c r="H197" s="34"/>
      <x:c r="I197" s="34"/>
      <x:c r="J197" s="17"/>
      <x:c r="K197" s="17"/>
      <x:c r="L197" s="17"/>
      <x:c r="M197" s="34"/>
      <x:c r="N197" s="17"/>
    </x:row>
    <x:row r="198" ht="28" customHeight="1">
      <x:c r="A198" s="17"/>
      <x:c r="B198" s="17"/>
      <x:c r="C198" s="17"/>
      <x:c r="D198" s="17"/>
      <x:c r="E198" s="17"/>
      <x:c r="F198" s="17"/>
      <x:c r="G198" s="17"/>
      <x:c r="H198" s="34"/>
      <x:c r="I198" s="34"/>
      <x:c r="J198" s="17"/>
      <x:c r="K198" s="17"/>
      <x:c r="L198" s="17"/>
      <x:c r="M198" s="34"/>
      <x:c r="N198" s="17"/>
    </x:row>
    <x:row r="199" ht="28" customHeight="1">
      <x:c r="A199" s="17"/>
      <x:c r="B199" s="17"/>
      <x:c r="C199" s="17"/>
      <x:c r="D199" s="17"/>
      <x:c r="E199" s="17"/>
      <x:c r="F199" s="17"/>
      <x:c r="G199" s="17"/>
      <x:c r="H199" s="34"/>
      <x:c r="I199" s="34"/>
      <x:c r="J199" s="17"/>
      <x:c r="K199" s="17"/>
      <x:c r="L199" s="17"/>
      <x:c r="M199" s="34"/>
      <x:c r="N199" s="17"/>
    </x:row>
    <x:row r="200" ht="28" customHeight="1">
      <x:c r="A200" s="17"/>
      <x:c r="B200" s="17"/>
      <x:c r="C200" s="17"/>
      <x:c r="D200" s="17"/>
      <x:c r="E200" s="17"/>
      <x:c r="F200" s="17"/>
      <x:c r="G200" s="17"/>
      <x:c r="H200" s="34"/>
      <x:c r="I200" s="34"/>
      <x:c r="J200" s="17"/>
      <x:c r="K200" s="17"/>
      <x:c r="L200" s="17"/>
      <x:c r="M200" s="34"/>
      <x:c r="N200" s="17"/>
    </x:row>
    <x:row r="201" ht="28" customHeight="1">
      <x:c r="A201" s="17"/>
      <x:c r="B201" s="17"/>
      <x:c r="C201" s="17"/>
      <x:c r="D201" s="17"/>
      <x:c r="E201" s="17"/>
      <x:c r="F201" s="17"/>
      <x:c r="G201" s="17"/>
      <x:c r="H201" s="34"/>
      <x:c r="I201" s="34"/>
      <x:c r="J201" s="17"/>
      <x:c r="K201" s="17"/>
      <x:c r="L201" s="17"/>
      <x:c r="M201" s="34"/>
      <x:c r="N201" s="17"/>
    </x:row>
  </x:sheetData>
  <x:conditionalFormatting sqref="F2:F201">
    <x:cfRule type="containsText" dxfId="15" priority="1" operator="containsText" text="pass"/>
    <x:cfRule type="containsText" dxfId="16" priority="2" operator="containsText" text="completed"/>
    <x:cfRule type="containsText" dxfId="17" priority="3" operator="containsText" text="fail"/>
    <x:cfRule type="containsText" dxfId="18" priority="4" operator="containsText" text="blocked"/>
    <x:cfRule type="containsText" dxfId="19" priority="5" operator="containsText" text="partial"/>
  </x:conditionalFormatting>
  <x:conditionalFormatting sqref="J2:J201">
    <x:cfRule type="containsText" dxfId="20" priority="6" operator="containsText" text="pass"/>
    <x:cfRule type="containsText" dxfId="21" priority="7" operator="containsText" text="completed"/>
    <x:cfRule type="containsText" dxfId="22" priority="8" operator="containsText" text="fail"/>
    <x:cfRule type="containsText" dxfId="23" priority="9" operator="containsText" text="blocked"/>
    <x:cfRule type="containsText" dxfId="24" priority="10" operator="containsText" text="partial"/>
  </x:conditionalFormatting>
  <x:dataValidations count="5">
    <x:dataValidation type="list" sqref="F2:F201">
      <x:formula1>"eligible,ineligible,pending"</x:formula1>
    </x:dataValidation>
    <x:dataValidation type="list" sqref="G2:G201">
      <x:formula1>"yes,no,partial"</x:formula1>
    </x:dataValidation>
    <x:dataValidation type="list" sqref="J2:J201">
      <x:formula1>"recruited,scheduled,intake,running,returned,completed,withdrew,lost"</x:formula1>
    </x:dataValidation>
    <x:dataValidation type="list" sqref="K2:K201">
      <x:formula1>"yes-specific-task,yes-unspecified,maybe,no"</x:formula1>
    </x:dataValidation>
    <x:dataValidation type="list" sqref="L2:L201">
      <x:formula1>"strong,weak,none,negative"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20" hidden="0" customWidth="1"/>
    <x:col min="27" max="27" width="20" hidden="0" customWidth="1"/>
    <x:col min="28" max="28" width="20" hidden="0" customWidth="1"/>
    <x:col min="29" max="29" width="36" hidden="0" customWidth="1"/>
  </x:cols>
  <x:sheetData>
    <x:row r="1" ht="32" customHeight="1">
      <x:c r="A1" s="33" t="str">
        <x:v>Experiment ID</x:v>
      </x:c>
      <x:c r="B1" s="33" t="str">
        <x:v>Participant ID</x:v>
      </x:c>
      <x:c r="C1" s="33" t="str">
        <x:v>Start date</x:v>
      </x:c>
      <x:c r="D1" s="33" t="str">
        <x:v>Return date</x:v>
      </x:c>
      <x:c r="E1" s="33" t="str">
        <x:v>Task summary</x:v>
      </x:c>
      <x:c r="F1" s="33" t="str">
        <x:v>Task profile</x:v>
      </x:c>
      <x:c r="G1" s="33" t="str">
        <x:v>Agent / model</x:v>
      </x:c>
      <x:c r="H1" s="33" t="str">
        <x:v>Intake decision</x:v>
      </x:c>
      <x:c r="I1" s="33" t="str">
        <x:v>Paired baseline?</x:v>
      </x:c>
      <x:c r="J1" s="33" t="str">
        <x:v>Questions asked</x:v>
      </x:c>
      <x:c r="K1" s="33" t="str">
        <x:v>Scope confirmed?</x:v>
      </x:c>
      <x:c r="L1" s="33" t="str">
        <x:v>Contract version</x:v>
      </x:c>
      <x:c r="M1" s="33" t="str">
        <x:v>Agent task sent?</x:v>
      </x:c>
      <x:c r="N1" s="33" t="str">
        <x:v>Evidence returned?</x:v>
      </x:c>
      <x:c r="O1" s="33" t="str">
        <x:v>Required criteria</x:v>
      </x:c>
      <x:c r="P1" s="33" t="str">
        <x:v>Supported passes</x:v>
      </x:c>
      <x:c r="Q1" s="33" t="str">
        <x:v>Criteria with evidence</x:v>
      </x:c>
      <x:c r="R1" s="33" t="str">
        <x:v>Pass rate</x:v>
      </x:c>
      <x:c r="S1" s="33" t="str">
        <x:v>Evidence coverage</x:v>
      </x:c>
      <x:c r="T1" s="33" t="str">
        <x:v>Baseline clarifications</x:v>
      </x:c>
      <x:c r="U1" s="33" t="str">
        <x:v>LoopZ clarifications</x:v>
      </x:c>
      <x:c r="V1" s="33" t="str">
        <x:v>Baseline corrections</x:v>
      </x:c>
      <x:c r="W1" s="33" t="str">
        <x:v>LoopZ corrections</x:v>
      </x:c>
      <x:c r="X1" s="33" t="str">
        <x:v>Repair attempts</x:v>
      </x:c>
      <x:c r="Y1" s="33" t="str">
        <x:v>Duration minutes</x:v>
      </x:c>
      <x:c r="Z1" s="33" t="str">
        <x:v>Status</x:v>
      </x:c>
      <x:c r="AA1" s="33" t="str">
        <x:v>Reuse intent</x:v>
      </x:c>
      <x:c r="AB1" s="33" t="str">
        <x:v>WTP signal</x:v>
      </x:c>
      <x:c r="AC1" s="33" t="str">
        <x:v>Outcome notes</x:v>
      </x:c>
    </x:row>
    <x:row r="2" ht="28" customHeight="1">
      <x:c r="A2" s="17"/>
      <x:c r="B2" s="17"/>
      <x:c r="C2" s="34"/>
      <x:c r="D2" s="34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9" t="str">
        <x:f>IF(A2="","",IFERROR(P2/O2,0))</x:f>
      </x:c>
      <x:c r="S2" s="19" t="str">
        <x:f>IF(A2="","",IFERROR(Q2/O2,0))</x:f>
      </x:c>
      <x:c r="T2" s="17"/>
      <x:c r="U2" s="17"/>
      <x:c r="V2" s="17"/>
      <x:c r="W2" s="17"/>
      <x:c r="X2" s="17"/>
      <x:c r="Y2" s="17"/>
      <x:c r="Z2" s="17"/>
      <x:c r="AA2" s="17"/>
      <x:c r="AB2" s="17"/>
      <x:c r="AC2" s="17"/>
    </x:row>
    <x:row r="3" ht="28" customHeight="1">
      <x:c r="A3" s="17"/>
      <x:c r="B3" s="17"/>
      <x:c r="C3" s="34"/>
      <x:c r="D3" s="34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9" t="str">
        <x:f>IF(A3="","",IFERROR(P3/O3,0))</x:f>
      </x:c>
      <x:c r="S3" s="19" t="str">
        <x:f>IF(A3="","",IFERROR(Q3/O3,0))</x:f>
      </x:c>
      <x:c r="T3" s="17"/>
      <x:c r="U3" s="17"/>
      <x:c r="V3" s="17"/>
      <x:c r="W3" s="17"/>
      <x:c r="X3" s="17"/>
      <x:c r="Y3" s="17"/>
      <x:c r="Z3" s="17"/>
      <x:c r="AA3" s="17"/>
      <x:c r="AB3" s="17"/>
      <x:c r="AC3" s="17"/>
    </x:row>
    <x:row r="4" ht="28" customHeight="1">
      <x:c r="A4" s="17"/>
      <x:c r="B4" s="17"/>
      <x:c r="C4" s="34"/>
      <x:c r="D4" s="34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9" t="str">
        <x:f>IF(A4="","",IFERROR(P4/O4,0))</x:f>
      </x:c>
      <x:c r="S4" s="19" t="str">
        <x:f>IF(A4="","",IFERROR(Q4/O4,0))</x:f>
      </x:c>
      <x:c r="T4" s="17"/>
      <x:c r="U4" s="17"/>
      <x:c r="V4" s="17"/>
      <x:c r="W4" s="17"/>
      <x:c r="X4" s="17"/>
      <x:c r="Y4" s="17"/>
      <x:c r="Z4" s="17"/>
      <x:c r="AA4" s="17"/>
      <x:c r="AB4" s="17"/>
      <x:c r="AC4" s="17"/>
    </x:row>
    <x:row r="5" ht="28" customHeight="1">
      <x:c r="A5" s="17"/>
      <x:c r="B5" s="17"/>
      <x:c r="C5" s="34"/>
      <x:c r="D5" s="34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9" t="str">
        <x:f>IF(A5="","",IFERROR(P5/O5,0))</x:f>
      </x:c>
      <x:c r="S5" s="19" t="str">
        <x:f>IF(A5="","",IFERROR(Q5/O5,0))</x:f>
      </x:c>
      <x:c r="T5" s="17"/>
      <x:c r="U5" s="17"/>
      <x:c r="V5" s="17"/>
      <x:c r="W5" s="17"/>
      <x:c r="X5" s="17"/>
      <x:c r="Y5" s="17"/>
      <x:c r="Z5" s="17"/>
      <x:c r="AA5" s="17"/>
      <x:c r="AB5" s="17"/>
      <x:c r="AC5" s="17"/>
    </x:row>
    <x:row r="6" ht="28" customHeight="1">
      <x:c r="A6" s="17"/>
      <x:c r="B6" s="17"/>
      <x:c r="C6" s="34"/>
      <x:c r="D6" s="34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9" t="str">
        <x:f>IF(A6="","",IFERROR(P6/O6,0))</x:f>
      </x:c>
      <x:c r="S6" s="19" t="str">
        <x:f>IF(A6="","",IFERROR(Q6/O6,0))</x:f>
      </x:c>
      <x:c r="T6" s="17"/>
      <x:c r="U6" s="17"/>
      <x:c r="V6" s="17"/>
      <x:c r="W6" s="17"/>
      <x:c r="X6" s="17"/>
      <x:c r="Y6" s="17"/>
      <x:c r="Z6" s="17"/>
      <x:c r="AA6" s="17"/>
      <x:c r="AB6" s="17"/>
      <x:c r="AC6" s="17"/>
    </x:row>
    <x:row r="7" ht="28" customHeight="1">
      <x:c r="A7" s="17"/>
      <x:c r="B7" s="17"/>
      <x:c r="C7" s="34"/>
      <x:c r="D7" s="34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9" t="str">
        <x:f>IF(A7="","",IFERROR(P7/O7,0))</x:f>
      </x:c>
      <x:c r="S7" s="19" t="str">
        <x:f>IF(A7="","",IFERROR(Q7/O7,0))</x:f>
      </x:c>
      <x:c r="T7" s="17"/>
      <x:c r="U7" s="17"/>
      <x:c r="V7" s="17"/>
      <x:c r="W7" s="17"/>
      <x:c r="X7" s="17"/>
      <x:c r="Y7" s="17"/>
      <x:c r="Z7" s="17"/>
      <x:c r="AA7" s="17"/>
      <x:c r="AB7" s="17"/>
      <x:c r="AC7" s="17"/>
    </x:row>
    <x:row r="8" ht="28" customHeight="1">
      <x:c r="A8" s="17"/>
      <x:c r="B8" s="17"/>
      <x:c r="C8" s="34"/>
      <x:c r="D8" s="34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9" t="str">
        <x:f>IF(A8="","",IFERROR(P8/O8,0))</x:f>
      </x:c>
      <x:c r="S8" s="19" t="str">
        <x:f>IF(A8="","",IFERROR(Q8/O8,0))</x:f>
      </x:c>
      <x:c r="T8" s="17"/>
      <x:c r="U8" s="17"/>
      <x:c r="V8" s="17"/>
      <x:c r="W8" s="17"/>
      <x:c r="X8" s="17"/>
      <x:c r="Y8" s="17"/>
      <x:c r="Z8" s="17"/>
      <x:c r="AA8" s="17"/>
      <x:c r="AB8" s="17"/>
      <x:c r="AC8" s="17"/>
    </x:row>
    <x:row r="9" ht="28" customHeight="1">
      <x:c r="A9" s="17"/>
      <x:c r="B9" s="17"/>
      <x:c r="C9" s="34"/>
      <x:c r="D9" s="34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9" t="str">
        <x:f>IF(A9="","",IFERROR(P9/O9,0))</x:f>
      </x:c>
      <x:c r="S9" s="19" t="str">
        <x:f>IF(A9="","",IFERROR(Q9/O9,0))</x:f>
      </x:c>
      <x:c r="T9" s="17"/>
      <x:c r="U9" s="17"/>
      <x:c r="V9" s="17"/>
      <x:c r="W9" s="17"/>
      <x:c r="X9" s="17"/>
      <x:c r="Y9" s="17"/>
      <x:c r="Z9" s="17"/>
      <x:c r="AA9" s="17"/>
      <x:c r="AB9" s="17"/>
      <x:c r="AC9" s="17"/>
    </x:row>
    <x:row r="10" ht="28" customHeight="1">
      <x:c r="A10" s="17"/>
      <x:c r="B10" s="17"/>
      <x:c r="C10" s="34"/>
      <x:c r="D10" s="34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9" t="str">
        <x:f>IF(A10="","",IFERROR(P10/O10,0))</x:f>
      </x:c>
      <x:c r="S10" s="19" t="str">
        <x:f>IF(A10="","",IFERROR(Q10/O10,0))</x:f>
      </x:c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</x:row>
    <x:row r="11" ht="28" customHeight="1">
      <x:c r="A11" s="17"/>
      <x:c r="B11" s="17"/>
      <x:c r="C11" s="34"/>
      <x:c r="D11" s="34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9" t="str">
        <x:f>IF(A11="","",IFERROR(P11/O11,0))</x:f>
      </x:c>
      <x:c r="S11" s="19" t="str">
        <x:f>IF(A11="","",IFERROR(Q11/O11,0))</x:f>
      </x:c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</x:row>
    <x:row r="12" ht="28" customHeight="1">
      <x:c r="A12" s="17"/>
      <x:c r="B12" s="17"/>
      <x:c r="C12" s="34"/>
      <x:c r="D12" s="34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9" t="str">
        <x:f>IF(A12="","",IFERROR(P12/O12,0))</x:f>
      </x:c>
      <x:c r="S12" s="19" t="str">
        <x:f>IF(A12="","",IFERROR(Q12/O12,0))</x:f>
      </x:c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</x:row>
    <x:row r="13" ht="28" customHeight="1">
      <x:c r="A13" s="17"/>
      <x:c r="B13" s="17"/>
      <x:c r="C13" s="34"/>
      <x:c r="D13" s="34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9" t="str">
        <x:f>IF(A13="","",IFERROR(P13/O13,0))</x:f>
      </x:c>
      <x:c r="S13" s="19" t="str">
        <x:f>IF(A13="","",IFERROR(Q13/O13,0))</x:f>
      </x:c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</x:row>
    <x:row r="14" ht="28" customHeight="1">
      <x:c r="A14" s="17"/>
      <x:c r="B14" s="17"/>
      <x:c r="C14" s="34"/>
      <x:c r="D14" s="34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9" t="str">
        <x:f>IF(A14="","",IFERROR(P14/O14,0))</x:f>
      </x:c>
      <x:c r="S14" s="19" t="str">
        <x:f>IF(A14="","",IFERROR(Q14/O14,0))</x:f>
      </x:c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</x:row>
    <x:row r="15" ht="28" customHeight="1">
      <x:c r="A15" s="17"/>
      <x:c r="B15" s="17"/>
      <x:c r="C15" s="34"/>
      <x:c r="D15" s="34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9" t="str">
        <x:f>IF(A15="","",IFERROR(P15/O15,0))</x:f>
      </x:c>
      <x:c r="S15" s="19" t="str">
        <x:f>IF(A15="","",IFERROR(Q15/O15,0))</x:f>
      </x:c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</x:row>
    <x:row r="16" ht="28" customHeight="1">
      <x:c r="A16" s="17"/>
      <x:c r="B16" s="17"/>
      <x:c r="C16" s="34"/>
      <x:c r="D16" s="34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9" t="str">
        <x:f>IF(A16="","",IFERROR(P16/O16,0))</x:f>
      </x:c>
      <x:c r="S16" s="19" t="str">
        <x:f>IF(A16="","",IFERROR(Q16/O16,0))</x:f>
      </x:c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</x:row>
    <x:row r="17" ht="28" customHeight="1">
      <x:c r="A17" s="17"/>
      <x:c r="B17" s="17"/>
      <x:c r="C17" s="34"/>
      <x:c r="D17" s="34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9" t="str">
        <x:f>IF(A17="","",IFERROR(P17/O17,0))</x:f>
      </x:c>
      <x:c r="S17" s="19" t="str">
        <x:f>IF(A17="","",IFERROR(Q17/O17,0))</x:f>
      </x:c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</x:row>
    <x:row r="18" ht="28" customHeight="1">
      <x:c r="A18" s="17"/>
      <x:c r="B18" s="17"/>
      <x:c r="C18" s="34"/>
      <x:c r="D18" s="34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9" t="str">
        <x:f>IF(A18="","",IFERROR(P18/O18,0))</x:f>
      </x:c>
      <x:c r="S18" s="19" t="str">
        <x:f>IF(A18="","",IFERROR(Q18/O18,0))</x:f>
      </x:c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</x:row>
    <x:row r="19" ht="28" customHeight="1">
      <x:c r="A19" s="17"/>
      <x:c r="B19" s="17"/>
      <x:c r="C19" s="34"/>
      <x:c r="D19" s="34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9" t="str">
        <x:f>IF(A19="","",IFERROR(P19/O19,0))</x:f>
      </x:c>
      <x:c r="S19" s="19" t="str">
        <x:f>IF(A19="","",IFERROR(Q19/O19,0))</x:f>
      </x:c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</x:row>
    <x:row r="20" ht="28" customHeight="1">
      <x:c r="A20" s="17"/>
      <x:c r="B20" s="17"/>
      <x:c r="C20" s="34"/>
      <x:c r="D20" s="34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9" t="str">
        <x:f>IF(A20="","",IFERROR(P20/O20,0))</x:f>
      </x:c>
      <x:c r="S20" s="19" t="str">
        <x:f>IF(A20="","",IFERROR(Q20/O20,0))</x:f>
      </x:c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</x:row>
    <x:row r="21" ht="28" customHeight="1">
      <x:c r="A21" s="17"/>
      <x:c r="B21" s="17"/>
      <x:c r="C21" s="34"/>
      <x:c r="D21" s="34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9" t="str">
        <x:f>IF(A21="","",IFERROR(P21/O21,0))</x:f>
      </x:c>
      <x:c r="S21" s="19" t="str">
        <x:f>IF(A21="","",IFERROR(Q21/O21,0))</x:f>
      </x:c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</x:row>
    <x:row r="22" ht="28" customHeight="1">
      <x:c r="A22" s="17"/>
      <x:c r="B22" s="17"/>
      <x:c r="C22" s="34"/>
      <x:c r="D22" s="34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9" t="str">
        <x:f>IF(A22="","",IFERROR(P22/O22,0))</x:f>
      </x:c>
      <x:c r="S22" s="19" t="str">
        <x:f>IF(A22="","",IFERROR(Q22/O22,0))</x:f>
      </x:c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</x:row>
    <x:row r="23" ht="28" customHeight="1">
      <x:c r="A23" s="17"/>
      <x:c r="B23" s="17"/>
      <x:c r="C23" s="34"/>
      <x:c r="D23" s="34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9" t="str">
        <x:f>IF(A23="","",IFERROR(P23/O23,0))</x:f>
      </x:c>
      <x:c r="S23" s="19" t="str">
        <x:f>IF(A23="","",IFERROR(Q23/O23,0))</x:f>
      </x:c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</x:row>
    <x:row r="24" ht="28" customHeight="1">
      <x:c r="A24" s="17"/>
      <x:c r="B24" s="17"/>
      <x:c r="C24" s="34"/>
      <x:c r="D24" s="34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9" t="str">
        <x:f>IF(A24="","",IFERROR(P24/O24,0))</x:f>
      </x:c>
      <x:c r="S24" s="19" t="str">
        <x:f>IF(A24="","",IFERROR(Q24/O24,0))</x:f>
      </x:c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</x:row>
    <x:row r="25" ht="28" customHeight="1">
      <x:c r="A25" s="17"/>
      <x:c r="B25" s="17"/>
      <x:c r="C25" s="34"/>
      <x:c r="D25" s="34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9" t="str">
        <x:f>IF(A25="","",IFERROR(P25/O25,0))</x:f>
      </x:c>
      <x:c r="S25" s="19" t="str">
        <x:f>IF(A25="","",IFERROR(Q25/O25,0))</x:f>
      </x:c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</x:row>
    <x:row r="26" ht="28" customHeight="1">
      <x:c r="A26" s="17"/>
      <x:c r="B26" s="17"/>
      <x:c r="C26" s="34"/>
      <x:c r="D26" s="34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9" t="str">
        <x:f>IF(A26="","",IFERROR(P26/O26,0))</x:f>
      </x:c>
      <x:c r="S26" s="19" t="str">
        <x:f>IF(A26="","",IFERROR(Q26/O26,0))</x:f>
      </x:c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</x:row>
    <x:row r="27" ht="28" customHeight="1">
      <x:c r="A27" s="17"/>
      <x:c r="B27" s="17"/>
      <x:c r="C27" s="34"/>
      <x:c r="D27" s="34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9" t="str">
        <x:f>IF(A27="","",IFERROR(P27/O27,0))</x:f>
      </x:c>
      <x:c r="S27" s="19" t="str">
        <x:f>IF(A27="","",IFERROR(Q27/O27,0))</x:f>
      </x:c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</x:row>
    <x:row r="28" ht="28" customHeight="1">
      <x:c r="A28" s="17"/>
      <x:c r="B28" s="17"/>
      <x:c r="C28" s="34"/>
      <x:c r="D28" s="34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9" t="str">
        <x:f>IF(A28="","",IFERROR(P28/O28,0))</x:f>
      </x:c>
      <x:c r="S28" s="19" t="str">
        <x:f>IF(A28="","",IFERROR(Q28/O28,0))</x:f>
      </x:c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</x:row>
    <x:row r="29" ht="28" customHeight="1">
      <x:c r="A29" s="17"/>
      <x:c r="B29" s="17"/>
      <x:c r="C29" s="34"/>
      <x:c r="D29" s="34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9" t="str">
        <x:f>IF(A29="","",IFERROR(P29/O29,0))</x:f>
      </x:c>
      <x:c r="S29" s="19" t="str">
        <x:f>IF(A29="","",IFERROR(Q29/O29,0))</x:f>
      </x:c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</x:row>
    <x:row r="30" ht="28" customHeight="1">
      <x:c r="A30" s="17"/>
      <x:c r="B30" s="17"/>
      <x:c r="C30" s="34"/>
      <x:c r="D30" s="34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9" t="str">
        <x:f>IF(A30="","",IFERROR(P30/O30,0))</x:f>
      </x:c>
      <x:c r="S30" s="19" t="str">
        <x:f>IF(A30="","",IFERROR(Q30/O30,0))</x:f>
      </x:c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</x:row>
    <x:row r="31" ht="28" customHeight="1">
      <x:c r="A31" s="17"/>
      <x:c r="B31" s="17"/>
      <x:c r="C31" s="34"/>
      <x:c r="D31" s="34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9" t="str">
        <x:f>IF(A31="","",IFERROR(P31/O31,0))</x:f>
      </x:c>
      <x:c r="S31" s="19" t="str">
        <x:f>IF(A31="","",IFERROR(Q31/O31,0))</x:f>
      </x:c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</x:row>
    <x:row r="32" ht="28" customHeight="1">
      <x:c r="A32" s="17"/>
      <x:c r="B32" s="17"/>
      <x:c r="C32" s="34"/>
      <x:c r="D32" s="34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9" t="str">
        <x:f>IF(A32="","",IFERROR(P32/O32,0))</x:f>
      </x:c>
      <x:c r="S32" s="19" t="str">
        <x:f>IF(A32="","",IFERROR(Q32/O32,0))</x:f>
      </x:c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</x:row>
    <x:row r="33" ht="28" customHeight="1">
      <x:c r="A33" s="17"/>
      <x:c r="B33" s="17"/>
      <x:c r="C33" s="34"/>
      <x:c r="D33" s="34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9" t="str">
        <x:f>IF(A33="","",IFERROR(P33/O33,0))</x:f>
      </x:c>
      <x:c r="S33" s="19" t="str">
        <x:f>IF(A33="","",IFERROR(Q33/O33,0))</x:f>
      </x:c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</x:row>
    <x:row r="34" ht="28" customHeight="1">
      <x:c r="A34" s="17"/>
      <x:c r="B34" s="17"/>
      <x:c r="C34" s="34"/>
      <x:c r="D34" s="34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9" t="str">
        <x:f>IF(A34="","",IFERROR(P34/O34,0))</x:f>
      </x:c>
      <x:c r="S34" s="19" t="str">
        <x:f>IF(A34="","",IFERROR(Q34/O34,0))</x:f>
      </x:c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</x:row>
    <x:row r="35" ht="28" customHeight="1">
      <x:c r="A35" s="17"/>
      <x:c r="B35" s="17"/>
      <x:c r="C35" s="34"/>
      <x:c r="D35" s="34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9" t="str">
        <x:f>IF(A35="","",IFERROR(P35/O35,0))</x:f>
      </x:c>
      <x:c r="S35" s="19" t="str">
        <x:f>IF(A35="","",IFERROR(Q35/O35,0))</x:f>
      </x:c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</x:row>
    <x:row r="36" ht="28" customHeight="1">
      <x:c r="A36" s="17"/>
      <x:c r="B36" s="17"/>
      <x:c r="C36" s="34"/>
      <x:c r="D36" s="34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9" t="str">
        <x:f>IF(A36="","",IFERROR(P36/O36,0))</x:f>
      </x:c>
      <x:c r="S36" s="19" t="str">
        <x:f>IF(A36="","",IFERROR(Q36/O36,0))</x:f>
      </x:c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</x:row>
    <x:row r="37" ht="28" customHeight="1">
      <x:c r="A37" s="17"/>
      <x:c r="B37" s="17"/>
      <x:c r="C37" s="34"/>
      <x:c r="D37" s="34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9" t="str">
        <x:f>IF(A37="","",IFERROR(P37/O37,0))</x:f>
      </x:c>
      <x:c r="S37" s="19" t="str">
        <x:f>IF(A37="","",IFERROR(Q37/O37,0))</x:f>
      </x:c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</x:row>
    <x:row r="38" ht="28" customHeight="1">
      <x:c r="A38" s="17"/>
      <x:c r="B38" s="17"/>
      <x:c r="C38" s="34"/>
      <x:c r="D38" s="34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9" t="str">
        <x:f>IF(A38="","",IFERROR(P38/O38,0))</x:f>
      </x:c>
      <x:c r="S38" s="19" t="str">
        <x:f>IF(A38="","",IFERROR(Q38/O38,0))</x:f>
      </x:c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</x:row>
    <x:row r="39" ht="28" customHeight="1">
      <x:c r="A39" s="17"/>
      <x:c r="B39" s="17"/>
      <x:c r="C39" s="34"/>
      <x:c r="D39" s="34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9" t="str">
        <x:f>IF(A39="","",IFERROR(P39/O39,0))</x:f>
      </x:c>
      <x:c r="S39" s="19" t="str">
        <x:f>IF(A39="","",IFERROR(Q39/O39,0))</x:f>
      </x:c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</x:row>
    <x:row r="40" ht="28" customHeight="1">
      <x:c r="A40" s="17"/>
      <x:c r="B40" s="17"/>
      <x:c r="C40" s="34"/>
      <x:c r="D40" s="34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9" t="str">
        <x:f>IF(A40="","",IFERROR(P40/O40,0))</x:f>
      </x:c>
      <x:c r="S40" s="19" t="str">
        <x:f>IF(A40="","",IFERROR(Q40/O40,0))</x:f>
      </x:c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</x:row>
    <x:row r="41" ht="28" customHeight="1">
      <x:c r="A41" s="17"/>
      <x:c r="B41" s="17"/>
      <x:c r="C41" s="34"/>
      <x:c r="D41" s="34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9" t="str">
        <x:f>IF(A41="","",IFERROR(P41/O41,0))</x:f>
      </x:c>
      <x:c r="S41" s="19" t="str">
        <x:f>IF(A41="","",IFERROR(Q41/O41,0))</x:f>
      </x:c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</x:row>
    <x:row r="42" ht="28" customHeight="1">
      <x:c r="A42" s="17"/>
      <x:c r="B42" s="17"/>
      <x:c r="C42" s="34"/>
      <x:c r="D42" s="34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9" t="str">
        <x:f>IF(A42="","",IFERROR(P42/O42,0))</x:f>
      </x:c>
      <x:c r="S42" s="19" t="str">
        <x:f>IF(A42="","",IFERROR(Q42/O42,0))</x:f>
      </x:c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</x:row>
    <x:row r="43" ht="28" customHeight="1">
      <x:c r="A43" s="17"/>
      <x:c r="B43" s="17"/>
      <x:c r="C43" s="34"/>
      <x:c r="D43" s="34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9" t="str">
        <x:f>IF(A43="","",IFERROR(P43/O43,0))</x:f>
      </x:c>
      <x:c r="S43" s="19" t="str">
        <x:f>IF(A43="","",IFERROR(Q43/O43,0))</x:f>
      </x:c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</x:row>
    <x:row r="44" ht="28" customHeight="1">
      <x:c r="A44" s="17"/>
      <x:c r="B44" s="17"/>
      <x:c r="C44" s="34"/>
      <x:c r="D44" s="34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9" t="str">
        <x:f>IF(A44="","",IFERROR(P44/O44,0))</x:f>
      </x:c>
      <x:c r="S44" s="19" t="str">
        <x:f>IF(A44="","",IFERROR(Q44/O44,0))</x:f>
      </x:c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</x:row>
    <x:row r="45" ht="28" customHeight="1">
      <x:c r="A45" s="17"/>
      <x:c r="B45" s="17"/>
      <x:c r="C45" s="34"/>
      <x:c r="D45" s="34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9" t="str">
        <x:f>IF(A45="","",IFERROR(P45/O45,0))</x:f>
      </x:c>
      <x:c r="S45" s="19" t="str">
        <x:f>IF(A45="","",IFERROR(Q45/O45,0))</x:f>
      </x:c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</x:row>
    <x:row r="46" ht="28" customHeight="1">
      <x:c r="A46" s="17"/>
      <x:c r="B46" s="17"/>
      <x:c r="C46" s="34"/>
      <x:c r="D46" s="34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9" t="str">
        <x:f>IF(A46="","",IFERROR(P46/O46,0))</x:f>
      </x:c>
      <x:c r="S46" s="19" t="str">
        <x:f>IF(A46="","",IFERROR(Q46/O46,0))</x:f>
      </x:c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</x:row>
    <x:row r="47" ht="28" customHeight="1">
      <x:c r="A47" s="17"/>
      <x:c r="B47" s="17"/>
      <x:c r="C47" s="34"/>
      <x:c r="D47" s="34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9" t="str">
        <x:f>IF(A47="","",IFERROR(P47/O47,0))</x:f>
      </x:c>
      <x:c r="S47" s="19" t="str">
        <x:f>IF(A47="","",IFERROR(Q47/O47,0))</x:f>
      </x:c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</x:row>
    <x:row r="48" ht="28" customHeight="1">
      <x:c r="A48" s="17"/>
      <x:c r="B48" s="17"/>
      <x:c r="C48" s="34"/>
      <x:c r="D48" s="34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9" t="str">
        <x:f>IF(A48="","",IFERROR(P48/O48,0))</x:f>
      </x:c>
      <x:c r="S48" s="19" t="str">
        <x:f>IF(A48="","",IFERROR(Q48/O48,0))</x:f>
      </x:c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</x:row>
    <x:row r="49" ht="28" customHeight="1">
      <x:c r="A49" s="17"/>
      <x:c r="B49" s="17"/>
      <x:c r="C49" s="34"/>
      <x:c r="D49" s="34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9" t="str">
        <x:f>IF(A49="","",IFERROR(P49/O49,0))</x:f>
      </x:c>
      <x:c r="S49" s="19" t="str">
        <x:f>IF(A49="","",IFERROR(Q49/O49,0))</x:f>
      </x:c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</x:row>
    <x:row r="50" ht="28" customHeight="1">
      <x:c r="A50" s="17"/>
      <x:c r="B50" s="17"/>
      <x:c r="C50" s="34"/>
      <x:c r="D50" s="34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9" t="str">
        <x:f>IF(A50="","",IFERROR(P50/O50,0))</x:f>
      </x:c>
      <x:c r="S50" s="19" t="str">
        <x:f>IF(A50="","",IFERROR(Q50/O50,0))</x:f>
      </x:c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</x:row>
    <x:row r="51" ht="28" customHeight="1">
      <x:c r="A51" s="17"/>
      <x:c r="B51" s="17"/>
      <x:c r="C51" s="34"/>
      <x:c r="D51" s="34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9" t="str">
        <x:f>IF(A51="","",IFERROR(P51/O51,0))</x:f>
      </x:c>
      <x:c r="S51" s="19" t="str">
        <x:f>IF(A51="","",IFERROR(Q51/O51,0))</x:f>
      </x:c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</x:row>
    <x:row r="52" ht="28" customHeight="1">
      <x:c r="A52" s="17"/>
      <x:c r="B52" s="17"/>
      <x:c r="C52" s="34"/>
      <x:c r="D52" s="34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9" t="str">
        <x:f>IF(A52="","",IFERROR(P52/O52,0))</x:f>
      </x:c>
      <x:c r="S52" s="19" t="str">
        <x:f>IF(A52="","",IFERROR(Q52/O52,0))</x:f>
      </x:c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</x:row>
    <x:row r="53" ht="28" customHeight="1">
      <x:c r="A53" s="17"/>
      <x:c r="B53" s="17"/>
      <x:c r="C53" s="34"/>
      <x:c r="D53" s="34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9" t="str">
        <x:f>IF(A53="","",IFERROR(P53/O53,0))</x:f>
      </x:c>
      <x:c r="S53" s="19" t="str">
        <x:f>IF(A53="","",IFERROR(Q53/O53,0))</x:f>
      </x:c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</x:row>
    <x:row r="54" ht="28" customHeight="1">
      <x:c r="A54" s="17"/>
      <x:c r="B54" s="17"/>
      <x:c r="C54" s="34"/>
      <x:c r="D54" s="34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9" t="str">
        <x:f>IF(A54="","",IFERROR(P54/O54,0))</x:f>
      </x:c>
      <x:c r="S54" s="19" t="str">
        <x:f>IF(A54="","",IFERROR(Q54/O54,0))</x:f>
      </x:c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</x:row>
    <x:row r="55" ht="28" customHeight="1">
      <x:c r="A55" s="17"/>
      <x:c r="B55" s="17"/>
      <x:c r="C55" s="34"/>
      <x:c r="D55" s="34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9" t="str">
        <x:f>IF(A55="","",IFERROR(P55/O55,0))</x:f>
      </x:c>
      <x:c r="S55" s="19" t="str">
        <x:f>IF(A55="","",IFERROR(Q55/O55,0))</x:f>
      </x:c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</x:row>
    <x:row r="56" ht="28" customHeight="1">
      <x:c r="A56" s="17"/>
      <x:c r="B56" s="17"/>
      <x:c r="C56" s="34"/>
      <x:c r="D56" s="34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9" t="str">
        <x:f>IF(A56="","",IFERROR(P56/O56,0))</x:f>
      </x:c>
      <x:c r="S56" s="19" t="str">
        <x:f>IF(A56="","",IFERROR(Q56/O56,0))</x:f>
      </x:c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</x:row>
    <x:row r="57" ht="28" customHeight="1">
      <x:c r="A57" s="17"/>
      <x:c r="B57" s="17"/>
      <x:c r="C57" s="34"/>
      <x:c r="D57" s="34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9" t="str">
        <x:f>IF(A57="","",IFERROR(P57/O57,0))</x:f>
      </x:c>
      <x:c r="S57" s="19" t="str">
        <x:f>IF(A57="","",IFERROR(Q57/O57,0))</x:f>
      </x:c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</x:row>
    <x:row r="58" ht="28" customHeight="1">
      <x:c r="A58" s="17"/>
      <x:c r="B58" s="17"/>
      <x:c r="C58" s="34"/>
      <x:c r="D58" s="34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9" t="str">
        <x:f>IF(A58="","",IFERROR(P58/O58,0))</x:f>
      </x:c>
      <x:c r="S58" s="19" t="str">
        <x:f>IF(A58="","",IFERROR(Q58/O58,0))</x:f>
      </x:c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</x:row>
    <x:row r="59" ht="28" customHeight="1">
      <x:c r="A59" s="17"/>
      <x:c r="B59" s="17"/>
      <x:c r="C59" s="34"/>
      <x:c r="D59" s="34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9" t="str">
        <x:f>IF(A59="","",IFERROR(P59/O59,0))</x:f>
      </x:c>
      <x:c r="S59" s="19" t="str">
        <x:f>IF(A59="","",IFERROR(Q59/O59,0))</x:f>
      </x:c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</x:row>
    <x:row r="60" ht="28" customHeight="1">
      <x:c r="A60" s="17"/>
      <x:c r="B60" s="17"/>
      <x:c r="C60" s="34"/>
      <x:c r="D60" s="34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9" t="str">
        <x:f>IF(A60="","",IFERROR(P60/O60,0))</x:f>
      </x:c>
      <x:c r="S60" s="19" t="str">
        <x:f>IF(A60="","",IFERROR(Q60/O60,0))</x:f>
      </x:c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</x:row>
    <x:row r="61" ht="28" customHeight="1">
      <x:c r="A61" s="17"/>
      <x:c r="B61" s="17"/>
      <x:c r="C61" s="34"/>
      <x:c r="D61" s="34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9" t="str">
        <x:f>IF(A61="","",IFERROR(P61/O61,0))</x:f>
      </x:c>
      <x:c r="S61" s="19" t="str">
        <x:f>IF(A61="","",IFERROR(Q61/O61,0))</x:f>
      </x:c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</x:row>
    <x:row r="62" ht="28" customHeight="1">
      <x:c r="A62" s="17"/>
      <x:c r="B62" s="17"/>
      <x:c r="C62" s="34"/>
      <x:c r="D62" s="34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9" t="str">
        <x:f>IF(A62="","",IFERROR(P62/O62,0))</x:f>
      </x:c>
      <x:c r="S62" s="19" t="str">
        <x:f>IF(A62="","",IFERROR(Q62/O62,0))</x:f>
      </x:c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</x:row>
    <x:row r="63" ht="28" customHeight="1">
      <x:c r="A63" s="17"/>
      <x:c r="B63" s="17"/>
      <x:c r="C63" s="34"/>
      <x:c r="D63" s="34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9" t="str">
        <x:f>IF(A63="","",IFERROR(P63/O63,0))</x:f>
      </x:c>
      <x:c r="S63" s="19" t="str">
        <x:f>IF(A63="","",IFERROR(Q63/O63,0))</x:f>
      </x:c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</x:row>
    <x:row r="64" ht="28" customHeight="1">
      <x:c r="A64" s="17"/>
      <x:c r="B64" s="17"/>
      <x:c r="C64" s="34"/>
      <x:c r="D64" s="34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9" t="str">
        <x:f>IF(A64="","",IFERROR(P64/O64,0))</x:f>
      </x:c>
      <x:c r="S64" s="19" t="str">
        <x:f>IF(A64="","",IFERROR(Q64/O64,0))</x:f>
      </x:c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</x:row>
    <x:row r="65" ht="28" customHeight="1">
      <x:c r="A65" s="17"/>
      <x:c r="B65" s="17"/>
      <x:c r="C65" s="34"/>
      <x:c r="D65" s="34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9" t="str">
        <x:f>IF(A65="","",IFERROR(P65/O65,0))</x:f>
      </x:c>
      <x:c r="S65" s="19" t="str">
        <x:f>IF(A65="","",IFERROR(Q65/O65,0))</x:f>
      </x:c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</x:row>
    <x:row r="66" ht="28" customHeight="1">
      <x:c r="A66" s="17"/>
      <x:c r="B66" s="17"/>
      <x:c r="C66" s="34"/>
      <x:c r="D66" s="34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9" t="str">
        <x:f>IF(A66="","",IFERROR(P66/O66,0))</x:f>
      </x:c>
      <x:c r="S66" s="19" t="str">
        <x:f>IF(A66="","",IFERROR(Q66/O66,0))</x:f>
      </x:c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</x:row>
    <x:row r="67" ht="28" customHeight="1">
      <x:c r="A67" s="17"/>
      <x:c r="B67" s="17"/>
      <x:c r="C67" s="34"/>
      <x:c r="D67" s="34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9" t="str">
        <x:f>IF(A67="","",IFERROR(P67/O67,0))</x:f>
      </x:c>
      <x:c r="S67" s="19" t="str">
        <x:f>IF(A67="","",IFERROR(Q67/O67,0))</x:f>
      </x:c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</x:row>
    <x:row r="68" ht="28" customHeight="1">
      <x:c r="A68" s="17"/>
      <x:c r="B68" s="17"/>
      <x:c r="C68" s="34"/>
      <x:c r="D68" s="34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9" t="str">
        <x:f>IF(A68="","",IFERROR(P68/O68,0))</x:f>
      </x:c>
      <x:c r="S68" s="19" t="str">
        <x:f>IF(A68="","",IFERROR(Q68/O68,0))</x:f>
      </x:c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</x:row>
    <x:row r="69" ht="28" customHeight="1">
      <x:c r="A69" s="17"/>
      <x:c r="B69" s="17"/>
      <x:c r="C69" s="34"/>
      <x:c r="D69" s="34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9" t="str">
        <x:f>IF(A69="","",IFERROR(P69/O69,0))</x:f>
      </x:c>
      <x:c r="S69" s="19" t="str">
        <x:f>IF(A69="","",IFERROR(Q69/O69,0))</x:f>
      </x:c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</x:row>
    <x:row r="70" ht="28" customHeight="1">
      <x:c r="A70" s="17"/>
      <x:c r="B70" s="17"/>
      <x:c r="C70" s="34"/>
      <x:c r="D70" s="34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9" t="str">
        <x:f>IF(A70="","",IFERROR(P70/O70,0))</x:f>
      </x:c>
      <x:c r="S70" s="19" t="str">
        <x:f>IF(A70="","",IFERROR(Q70/O70,0))</x:f>
      </x:c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</x:row>
    <x:row r="71" ht="28" customHeight="1">
      <x:c r="A71" s="17"/>
      <x:c r="B71" s="17"/>
      <x:c r="C71" s="34"/>
      <x:c r="D71" s="34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9" t="str">
        <x:f>IF(A71="","",IFERROR(P71/O71,0))</x:f>
      </x:c>
      <x:c r="S71" s="19" t="str">
        <x:f>IF(A71="","",IFERROR(Q71/O71,0))</x:f>
      </x:c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</x:row>
    <x:row r="72" ht="28" customHeight="1">
      <x:c r="A72" s="17"/>
      <x:c r="B72" s="17"/>
      <x:c r="C72" s="34"/>
      <x:c r="D72" s="34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9" t="str">
        <x:f>IF(A72="","",IFERROR(P72/O72,0))</x:f>
      </x:c>
      <x:c r="S72" s="19" t="str">
        <x:f>IF(A72="","",IFERROR(Q72/O72,0))</x:f>
      </x:c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</x:row>
    <x:row r="73" ht="28" customHeight="1">
      <x:c r="A73" s="17"/>
      <x:c r="B73" s="17"/>
      <x:c r="C73" s="34"/>
      <x:c r="D73" s="34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9" t="str">
        <x:f>IF(A73="","",IFERROR(P73/O73,0))</x:f>
      </x:c>
      <x:c r="S73" s="19" t="str">
        <x:f>IF(A73="","",IFERROR(Q73/O73,0))</x:f>
      </x:c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</x:row>
    <x:row r="74" ht="28" customHeight="1">
      <x:c r="A74" s="17"/>
      <x:c r="B74" s="17"/>
      <x:c r="C74" s="34"/>
      <x:c r="D74" s="34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9" t="str">
        <x:f>IF(A74="","",IFERROR(P74/O74,0))</x:f>
      </x:c>
      <x:c r="S74" s="19" t="str">
        <x:f>IF(A74="","",IFERROR(Q74/O74,0))</x:f>
      </x:c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</x:row>
    <x:row r="75" ht="28" customHeight="1">
      <x:c r="A75" s="17"/>
      <x:c r="B75" s="17"/>
      <x:c r="C75" s="34"/>
      <x:c r="D75" s="34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9" t="str">
        <x:f>IF(A75="","",IFERROR(P75/O75,0))</x:f>
      </x:c>
      <x:c r="S75" s="19" t="str">
        <x:f>IF(A75="","",IFERROR(Q75/O75,0))</x:f>
      </x:c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</x:row>
    <x:row r="76" ht="28" customHeight="1">
      <x:c r="A76" s="17"/>
      <x:c r="B76" s="17"/>
      <x:c r="C76" s="34"/>
      <x:c r="D76" s="34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9" t="str">
        <x:f>IF(A76="","",IFERROR(P76/O76,0))</x:f>
      </x:c>
      <x:c r="S76" s="19" t="str">
        <x:f>IF(A76="","",IFERROR(Q76/O76,0))</x:f>
      </x:c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</x:row>
    <x:row r="77" ht="28" customHeight="1">
      <x:c r="A77" s="17"/>
      <x:c r="B77" s="17"/>
      <x:c r="C77" s="34"/>
      <x:c r="D77" s="34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9" t="str">
        <x:f>IF(A77="","",IFERROR(P77/O77,0))</x:f>
      </x:c>
      <x:c r="S77" s="19" t="str">
        <x:f>IF(A77="","",IFERROR(Q77/O77,0))</x:f>
      </x:c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</x:row>
    <x:row r="78" ht="28" customHeight="1">
      <x:c r="A78" s="17"/>
      <x:c r="B78" s="17"/>
      <x:c r="C78" s="34"/>
      <x:c r="D78" s="34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9" t="str">
        <x:f>IF(A78="","",IFERROR(P78/O78,0))</x:f>
      </x:c>
      <x:c r="S78" s="19" t="str">
        <x:f>IF(A78="","",IFERROR(Q78/O78,0))</x:f>
      </x:c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</x:row>
    <x:row r="79" ht="28" customHeight="1">
      <x:c r="A79" s="17"/>
      <x:c r="B79" s="17"/>
      <x:c r="C79" s="34"/>
      <x:c r="D79" s="34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9" t="str">
        <x:f>IF(A79="","",IFERROR(P79/O79,0))</x:f>
      </x:c>
      <x:c r="S79" s="19" t="str">
        <x:f>IF(A79="","",IFERROR(Q79/O79,0))</x:f>
      </x:c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</x:row>
    <x:row r="80" ht="28" customHeight="1">
      <x:c r="A80" s="17"/>
      <x:c r="B80" s="17"/>
      <x:c r="C80" s="34"/>
      <x:c r="D80" s="34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9" t="str">
        <x:f>IF(A80="","",IFERROR(P80/O80,0))</x:f>
      </x:c>
      <x:c r="S80" s="19" t="str">
        <x:f>IF(A80="","",IFERROR(Q80/O80,0))</x:f>
      </x:c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</x:row>
    <x:row r="81" ht="28" customHeight="1">
      <x:c r="A81" s="17"/>
      <x:c r="B81" s="17"/>
      <x:c r="C81" s="34"/>
      <x:c r="D81" s="34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9" t="str">
        <x:f>IF(A81="","",IFERROR(P81/O81,0))</x:f>
      </x:c>
      <x:c r="S81" s="19" t="str">
        <x:f>IF(A81="","",IFERROR(Q81/O81,0))</x:f>
      </x:c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</x:row>
    <x:row r="82" ht="28" customHeight="1">
      <x:c r="A82" s="17"/>
      <x:c r="B82" s="17"/>
      <x:c r="C82" s="34"/>
      <x:c r="D82" s="34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9" t="str">
        <x:f>IF(A82="","",IFERROR(P82/O82,0))</x:f>
      </x:c>
      <x:c r="S82" s="19" t="str">
        <x:f>IF(A82="","",IFERROR(Q82/O82,0))</x:f>
      </x:c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</x:row>
    <x:row r="83" ht="28" customHeight="1">
      <x:c r="A83" s="17"/>
      <x:c r="B83" s="17"/>
      <x:c r="C83" s="34"/>
      <x:c r="D83" s="34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9" t="str">
        <x:f>IF(A83="","",IFERROR(P83/O83,0))</x:f>
      </x:c>
      <x:c r="S83" s="19" t="str">
        <x:f>IF(A83="","",IFERROR(Q83/O83,0))</x:f>
      </x:c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</x:row>
    <x:row r="84" ht="28" customHeight="1">
      <x:c r="A84" s="17"/>
      <x:c r="B84" s="17"/>
      <x:c r="C84" s="34"/>
      <x:c r="D84" s="34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9" t="str">
        <x:f>IF(A84="","",IFERROR(P84/O84,0))</x:f>
      </x:c>
      <x:c r="S84" s="19" t="str">
        <x:f>IF(A84="","",IFERROR(Q84/O84,0))</x:f>
      </x:c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</x:row>
    <x:row r="85" ht="28" customHeight="1">
      <x:c r="A85" s="17"/>
      <x:c r="B85" s="17"/>
      <x:c r="C85" s="34"/>
      <x:c r="D85" s="34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9" t="str">
        <x:f>IF(A85="","",IFERROR(P85/O85,0))</x:f>
      </x:c>
      <x:c r="S85" s="19" t="str">
        <x:f>IF(A85="","",IFERROR(Q85/O85,0))</x:f>
      </x:c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</x:row>
    <x:row r="86" ht="28" customHeight="1">
      <x:c r="A86" s="17"/>
      <x:c r="B86" s="17"/>
      <x:c r="C86" s="34"/>
      <x:c r="D86" s="34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9" t="str">
        <x:f>IF(A86="","",IFERROR(P86/O86,0))</x:f>
      </x:c>
      <x:c r="S86" s="19" t="str">
        <x:f>IF(A86="","",IFERROR(Q86/O86,0))</x:f>
      </x:c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</x:row>
    <x:row r="87" ht="28" customHeight="1">
      <x:c r="A87" s="17"/>
      <x:c r="B87" s="17"/>
      <x:c r="C87" s="34"/>
      <x:c r="D87" s="34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9" t="str">
        <x:f>IF(A87="","",IFERROR(P87/O87,0))</x:f>
      </x:c>
      <x:c r="S87" s="19" t="str">
        <x:f>IF(A87="","",IFERROR(Q87/O87,0))</x:f>
      </x:c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</x:row>
    <x:row r="88" ht="28" customHeight="1">
      <x:c r="A88" s="17"/>
      <x:c r="B88" s="17"/>
      <x:c r="C88" s="34"/>
      <x:c r="D88" s="34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9" t="str">
        <x:f>IF(A88="","",IFERROR(P88/O88,0))</x:f>
      </x:c>
      <x:c r="S88" s="19" t="str">
        <x:f>IF(A88="","",IFERROR(Q88/O88,0))</x:f>
      </x:c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</x:row>
    <x:row r="89" ht="28" customHeight="1">
      <x:c r="A89" s="17"/>
      <x:c r="B89" s="17"/>
      <x:c r="C89" s="34"/>
      <x:c r="D89" s="34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9" t="str">
        <x:f>IF(A89="","",IFERROR(P89/O89,0))</x:f>
      </x:c>
      <x:c r="S89" s="19" t="str">
        <x:f>IF(A89="","",IFERROR(Q89/O89,0))</x:f>
      </x:c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</x:row>
    <x:row r="90" ht="28" customHeight="1">
      <x:c r="A90" s="17"/>
      <x:c r="B90" s="17"/>
      <x:c r="C90" s="34"/>
      <x:c r="D90" s="34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9" t="str">
        <x:f>IF(A90="","",IFERROR(P90/O90,0))</x:f>
      </x:c>
      <x:c r="S90" s="19" t="str">
        <x:f>IF(A90="","",IFERROR(Q90/O90,0))</x:f>
      </x:c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</x:row>
    <x:row r="91" ht="28" customHeight="1">
      <x:c r="A91" s="17"/>
      <x:c r="B91" s="17"/>
      <x:c r="C91" s="34"/>
      <x:c r="D91" s="34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9" t="str">
        <x:f>IF(A91="","",IFERROR(P91/O91,0))</x:f>
      </x:c>
      <x:c r="S91" s="19" t="str">
        <x:f>IF(A91="","",IFERROR(Q91/O91,0))</x:f>
      </x:c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</x:row>
    <x:row r="92" ht="28" customHeight="1">
      <x:c r="A92" s="17"/>
      <x:c r="B92" s="17"/>
      <x:c r="C92" s="34"/>
      <x:c r="D92" s="34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9" t="str">
        <x:f>IF(A92="","",IFERROR(P92/O92,0))</x:f>
      </x:c>
      <x:c r="S92" s="19" t="str">
        <x:f>IF(A92="","",IFERROR(Q92/O92,0))</x:f>
      </x:c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</x:row>
    <x:row r="93" ht="28" customHeight="1">
      <x:c r="A93" s="17"/>
      <x:c r="B93" s="17"/>
      <x:c r="C93" s="34"/>
      <x:c r="D93" s="34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9" t="str">
        <x:f>IF(A93="","",IFERROR(P93/O93,0))</x:f>
      </x:c>
      <x:c r="S93" s="19" t="str">
        <x:f>IF(A93="","",IFERROR(Q93/O93,0))</x:f>
      </x:c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</x:row>
    <x:row r="94" ht="28" customHeight="1">
      <x:c r="A94" s="17"/>
      <x:c r="B94" s="17"/>
      <x:c r="C94" s="34"/>
      <x:c r="D94" s="34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9" t="str">
        <x:f>IF(A94="","",IFERROR(P94/O94,0))</x:f>
      </x:c>
      <x:c r="S94" s="19" t="str">
        <x:f>IF(A94="","",IFERROR(Q94/O94,0))</x:f>
      </x:c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</x:row>
    <x:row r="95" ht="28" customHeight="1">
      <x:c r="A95" s="17"/>
      <x:c r="B95" s="17"/>
      <x:c r="C95" s="34"/>
      <x:c r="D95" s="34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9" t="str">
        <x:f>IF(A95="","",IFERROR(P95/O95,0))</x:f>
      </x:c>
      <x:c r="S95" s="19" t="str">
        <x:f>IF(A95="","",IFERROR(Q95/O95,0))</x:f>
      </x:c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</x:row>
    <x:row r="96" ht="28" customHeight="1">
      <x:c r="A96" s="17"/>
      <x:c r="B96" s="17"/>
      <x:c r="C96" s="34"/>
      <x:c r="D96" s="34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9" t="str">
        <x:f>IF(A96="","",IFERROR(P96/O96,0))</x:f>
      </x:c>
      <x:c r="S96" s="19" t="str">
        <x:f>IF(A96="","",IFERROR(Q96/O96,0))</x:f>
      </x:c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</x:row>
    <x:row r="97" ht="28" customHeight="1">
      <x:c r="A97" s="17"/>
      <x:c r="B97" s="17"/>
      <x:c r="C97" s="34"/>
      <x:c r="D97" s="34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9" t="str">
        <x:f>IF(A97="","",IFERROR(P97/O97,0))</x:f>
      </x:c>
      <x:c r="S97" s="19" t="str">
        <x:f>IF(A97="","",IFERROR(Q97/O97,0))</x:f>
      </x:c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</x:row>
    <x:row r="98" ht="28" customHeight="1">
      <x:c r="A98" s="17"/>
      <x:c r="B98" s="17"/>
      <x:c r="C98" s="34"/>
      <x:c r="D98" s="34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9" t="str">
        <x:f>IF(A98="","",IFERROR(P98/O98,0))</x:f>
      </x:c>
      <x:c r="S98" s="19" t="str">
        <x:f>IF(A98="","",IFERROR(Q98/O98,0))</x:f>
      </x:c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</x:row>
    <x:row r="99" ht="28" customHeight="1">
      <x:c r="A99" s="17"/>
      <x:c r="B99" s="17"/>
      <x:c r="C99" s="34"/>
      <x:c r="D99" s="34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9" t="str">
        <x:f>IF(A99="","",IFERROR(P99/O99,0))</x:f>
      </x:c>
      <x:c r="S99" s="19" t="str">
        <x:f>IF(A99="","",IFERROR(Q99/O99,0))</x:f>
      </x:c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</x:row>
    <x:row r="100" ht="28" customHeight="1">
      <x:c r="A100" s="17"/>
      <x:c r="B100" s="17"/>
      <x:c r="C100" s="34"/>
      <x:c r="D100" s="34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9" t="str">
        <x:f>IF(A100="","",IFERROR(P100/O100,0))</x:f>
      </x:c>
      <x:c r="S100" s="19" t="str">
        <x:f>IF(A100="","",IFERROR(Q100/O100,0))</x:f>
      </x:c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</x:row>
    <x:row r="101" ht="28" customHeight="1">
      <x:c r="A101" s="17"/>
      <x:c r="B101" s="17"/>
      <x:c r="C101" s="34"/>
      <x:c r="D101" s="34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9" t="str">
        <x:f>IF(A101="","",IFERROR(P101/O101,0))</x:f>
      </x:c>
      <x:c r="S101" s="19" t="str">
        <x:f>IF(A101="","",IFERROR(Q101/O101,0))</x:f>
      </x:c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</x:row>
    <x:row r="102" ht="28" customHeight="1">
      <x:c r="A102" s="17"/>
      <x:c r="B102" s="17"/>
      <x:c r="C102" s="34"/>
      <x:c r="D102" s="34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9" t="str">
        <x:f>IF(A102="","",IFERROR(P102/O102,0))</x:f>
      </x:c>
      <x:c r="S102" s="19" t="str">
        <x:f>IF(A102="","",IFERROR(Q102/O102,0))</x:f>
      </x:c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</x:row>
    <x:row r="103" ht="28" customHeight="1">
      <x:c r="A103" s="17"/>
      <x:c r="B103" s="17"/>
      <x:c r="C103" s="34"/>
      <x:c r="D103" s="34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9" t="str">
        <x:f>IF(A103="","",IFERROR(P103/O103,0))</x:f>
      </x:c>
      <x:c r="S103" s="19" t="str">
        <x:f>IF(A103="","",IFERROR(Q103/O103,0))</x:f>
      </x:c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</x:row>
    <x:row r="104" ht="28" customHeight="1">
      <x:c r="A104" s="17"/>
      <x:c r="B104" s="17"/>
      <x:c r="C104" s="34"/>
      <x:c r="D104" s="34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9" t="str">
        <x:f>IF(A104="","",IFERROR(P104/O104,0))</x:f>
      </x:c>
      <x:c r="S104" s="19" t="str">
        <x:f>IF(A104="","",IFERROR(Q104/O104,0))</x:f>
      </x:c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</x:row>
    <x:row r="105" ht="28" customHeight="1">
      <x:c r="A105" s="17"/>
      <x:c r="B105" s="17"/>
      <x:c r="C105" s="34"/>
      <x:c r="D105" s="34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9" t="str">
        <x:f>IF(A105="","",IFERROR(P105/O105,0))</x:f>
      </x:c>
      <x:c r="S105" s="19" t="str">
        <x:f>IF(A105="","",IFERROR(Q105/O105,0))</x:f>
      </x:c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</x:row>
    <x:row r="106" ht="28" customHeight="1">
      <x:c r="A106" s="17"/>
      <x:c r="B106" s="17"/>
      <x:c r="C106" s="34"/>
      <x:c r="D106" s="34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9" t="str">
        <x:f>IF(A106="","",IFERROR(P106/O106,0))</x:f>
      </x:c>
      <x:c r="S106" s="19" t="str">
        <x:f>IF(A106="","",IFERROR(Q106/O106,0))</x:f>
      </x:c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</x:row>
    <x:row r="107" ht="28" customHeight="1">
      <x:c r="A107" s="17"/>
      <x:c r="B107" s="17"/>
      <x:c r="C107" s="34"/>
      <x:c r="D107" s="34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9" t="str">
        <x:f>IF(A107="","",IFERROR(P107/O107,0))</x:f>
      </x:c>
      <x:c r="S107" s="19" t="str">
        <x:f>IF(A107="","",IFERROR(Q107/O107,0))</x:f>
      </x:c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</x:row>
    <x:row r="108" ht="28" customHeight="1">
      <x:c r="A108" s="17"/>
      <x:c r="B108" s="17"/>
      <x:c r="C108" s="34"/>
      <x:c r="D108" s="34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9" t="str">
        <x:f>IF(A108="","",IFERROR(P108/O108,0))</x:f>
      </x:c>
      <x:c r="S108" s="19" t="str">
        <x:f>IF(A108="","",IFERROR(Q108/O108,0))</x:f>
      </x:c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</x:row>
    <x:row r="109" ht="28" customHeight="1">
      <x:c r="A109" s="17"/>
      <x:c r="B109" s="17"/>
      <x:c r="C109" s="34"/>
      <x:c r="D109" s="34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9" t="str">
        <x:f>IF(A109="","",IFERROR(P109/O109,0))</x:f>
      </x:c>
      <x:c r="S109" s="19" t="str">
        <x:f>IF(A109="","",IFERROR(Q109/O109,0))</x:f>
      </x:c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</x:row>
    <x:row r="110" ht="28" customHeight="1">
      <x:c r="A110" s="17"/>
      <x:c r="B110" s="17"/>
      <x:c r="C110" s="34"/>
      <x:c r="D110" s="34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9" t="str">
        <x:f>IF(A110="","",IFERROR(P110/O110,0))</x:f>
      </x:c>
      <x:c r="S110" s="19" t="str">
        <x:f>IF(A110="","",IFERROR(Q110/O110,0))</x:f>
      </x:c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</x:row>
    <x:row r="111" ht="28" customHeight="1">
      <x:c r="A111" s="17"/>
      <x:c r="B111" s="17"/>
      <x:c r="C111" s="34"/>
      <x:c r="D111" s="34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9" t="str">
        <x:f>IF(A111="","",IFERROR(P111/O111,0))</x:f>
      </x:c>
      <x:c r="S111" s="19" t="str">
        <x:f>IF(A111="","",IFERROR(Q111/O111,0))</x:f>
      </x:c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</x:row>
    <x:row r="112" ht="28" customHeight="1">
      <x:c r="A112" s="17"/>
      <x:c r="B112" s="17"/>
      <x:c r="C112" s="34"/>
      <x:c r="D112" s="34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9" t="str">
        <x:f>IF(A112="","",IFERROR(P112/O112,0))</x:f>
      </x:c>
      <x:c r="S112" s="19" t="str">
        <x:f>IF(A112="","",IFERROR(Q112/O112,0))</x:f>
      </x:c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</x:row>
    <x:row r="113" ht="28" customHeight="1">
      <x:c r="A113" s="17"/>
      <x:c r="B113" s="17"/>
      <x:c r="C113" s="34"/>
      <x:c r="D113" s="34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9" t="str">
        <x:f>IF(A113="","",IFERROR(P113/O113,0))</x:f>
      </x:c>
      <x:c r="S113" s="19" t="str">
        <x:f>IF(A113="","",IFERROR(Q113/O113,0))</x:f>
      </x:c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</x:row>
    <x:row r="114" ht="28" customHeight="1">
      <x:c r="A114" s="17"/>
      <x:c r="B114" s="17"/>
      <x:c r="C114" s="34"/>
      <x:c r="D114" s="34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9" t="str">
        <x:f>IF(A114="","",IFERROR(P114/O114,0))</x:f>
      </x:c>
      <x:c r="S114" s="19" t="str">
        <x:f>IF(A114="","",IFERROR(Q114/O114,0))</x:f>
      </x:c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</x:row>
    <x:row r="115" ht="28" customHeight="1">
      <x:c r="A115" s="17"/>
      <x:c r="B115" s="17"/>
      <x:c r="C115" s="34"/>
      <x:c r="D115" s="34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9" t="str">
        <x:f>IF(A115="","",IFERROR(P115/O115,0))</x:f>
      </x:c>
      <x:c r="S115" s="19" t="str">
        <x:f>IF(A115="","",IFERROR(Q115/O115,0))</x:f>
      </x:c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</x:row>
    <x:row r="116" ht="28" customHeight="1">
      <x:c r="A116" s="17"/>
      <x:c r="B116" s="17"/>
      <x:c r="C116" s="34"/>
      <x:c r="D116" s="34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9" t="str">
        <x:f>IF(A116="","",IFERROR(P116/O116,0))</x:f>
      </x:c>
      <x:c r="S116" s="19" t="str">
        <x:f>IF(A116="","",IFERROR(Q116/O116,0))</x:f>
      </x:c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</x:row>
    <x:row r="117" ht="28" customHeight="1">
      <x:c r="A117" s="17"/>
      <x:c r="B117" s="17"/>
      <x:c r="C117" s="34"/>
      <x:c r="D117" s="34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9" t="str">
        <x:f>IF(A117="","",IFERROR(P117/O117,0))</x:f>
      </x:c>
      <x:c r="S117" s="19" t="str">
        <x:f>IF(A117="","",IFERROR(Q117/O117,0))</x:f>
      </x:c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</x:row>
    <x:row r="118" ht="28" customHeight="1">
      <x:c r="A118" s="17"/>
      <x:c r="B118" s="17"/>
      <x:c r="C118" s="34"/>
      <x:c r="D118" s="34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9" t="str">
        <x:f>IF(A118="","",IFERROR(P118/O118,0))</x:f>
      </x:c>
      <x:c r="S118" s="19" t="str">
        <x:f>IF(A118="","",IFERROR(Q118/O118,0))</x:f>
      </x:c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</x:row>
    <x:row r="119" ht="28" customHeight="1">
      <x:c r="A119" s="17"/>
      <x:c r="B119" s="17"/>
      <x:c r="C119" s="34"/>
      <x:c r="D119" s="34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9" t="str">
        <x:f>IF(A119="","",IFERROR(P119/O119,0))</x:f>
      </x:c>
      <x:c r="S119" s="19" t="str">
        <x:f>IF(A119="","",IFERROR(Q119/O119,0))</x:f>
      </x:c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</x:row>
    <x:row r="120" ht="28" customHeight="1">
      <x:c r="A120" s="17"/>
      <x:c r="B120" s="17"/>
      <x:c r="C120" s="34"/>
      <x:c r="D120" s="34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9" t="str">
        <x:f>IF(A120="","",IFERROR(P120/O120,0))</x:f>
      </x:c>
      <x:c r="S120" s="19" t="str">
        <x:f>IF(A120="","",IFERROR(Q120/O120,0))</x:f>
      </x:c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</x:row>
    <x:row r="121" ht="28" customHeight="1">
      <x:c r="A121" s="17"/>
      <x:c r="B121" s="17"/>
      <x:c r="C121" s="34"/>
      <x:c r="D121" s="34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9" t="str">
        <x:f>IF(A121="","",IFERROR(P121/O121,0))</x:f>
      </x:c>
      <x:c r="S121" s="19" t="str">
        <x:f>IF(A121="","",IFERROR(Q121/O121,0))</x:f>
      </x:c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</x:row>
    <x:row r="122" ht="28" customHeight="1">
      <x:c r="A122" s="17"/>
      <x:c r="B122" s="17"/>
      <x:c r="C122" s="34"/>
      <x:c r="D122" s="34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9" t="str">
        <x:f>IF(A122="","",IFERROR(P122/O122,0))</x:f>
      </x:c>
      <x:c r="S122" s="19" t="str">
        <x:f>IF(A122="","",IFERROR(Q122/O122,0))</x:f>
      </x:c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</x:row>
    <x:row r="123" ht="28" customHeight="1">
      <x:c r="A123" s="17"/>
      <x:c r="B123" s="17"/>
      <x:c r="C123" s="34"/>
      <x:c r="D123" s="34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9" t="str">
        <x:f>IF(A123="","",IFERROR(P123/O123,0))</x:f>
      </x:c>
      <x:c r="S123" s="19" t="str">
        <x:f>IF(A123="","",IFERROR(Q123/O123,0))</x:f>
      </x:c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</x:row>
    <x:row r="124" ht="28" customHeight="1">
      <x:c r="A124" s="17"/>
      <x:c r="B124" s="17"/>
      <x:c r="C124" s="34"/>
      <x:c r="D124" s="34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9" t="str">
        <x:f>IF(A124="","",IFERROR(P124/O124,0))</x:f>
      </x:c>
      <x:c r="S124" s="19" t="str">
        <x:f>IF(A124="","",IFERROR(Q124/O124,0))</x:f>
      </x:c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</x:row>
    <x:row r="125" ht="28" customHeight="1">
      <x:c r="A125" s="17"/>
      <x:c r="B125" s="17"/>
      <x:c r="C125" s="34"/>
      <x:c r="D125" s="34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9" t="str">
        <x:f>IF(A125="","",IFERROR(P125/O125,0))</x:f>
      </x:c>
      <x:c r="S125" s="19" t="str">
        <x:f>IF(A125="","",IFERROR(Q125/O125,0))</x:f>
      </x:c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</x:row>
    <x:row r="126" ht="28" customHeight="1">
      <x:c r="A126" s="17"/>
      <x:c r="B126" s="17"/>
      <x:c r="C126" s="34"/>
      <x:c r="D126" s="34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9" t="str">
        <x:f>IF(A126="","",IFERROR(P126/O126,0))</x:f>
      </x:c>
      <x:c r="S126" s="19" t="str">
        <x:f>IF(A126="","",IFERROR(Q126/O126,0))</x:f>
      </x:c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</x:row>
    <x:row r="127" ht="28" customHeight="1">
      <x:c r="A127" s="17"/>
      <x:c r="B127" s="17"/>
      <x:c r="C127" s="34"/>
      <x:c r="D127" s="34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9" t="str">
        <x:f>IF(A127="","",IFERROR(P127/O127,0))</x:f>
      </x:c>
      <x:c r="S127" s="19" t="str">
        <x:f>IF(A127="","",IFERROR(Q127/O127,0))</x:f>
      </x:c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</x:row>
    <x:row r="128" ht="28" customHeight="1">
      <x:c r="A128" s="17"/>
      <x:c r="B128" s="17"/>
      <x:c r="C128" s="34"/>
      <x:c r="D128" s="34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9" t="str">
        <x:f>IF(A128="","",IFERROR(P128/O128,0))</x:f>
      </x:c>
      <x:c r="S128" s="19" t="str">
        <x:f>IF(A128="","",IFERROR(Q128/O128,0))</x:f>
      </x:c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</x:row>
    <x:row r="129" ht="28" customHeight="1">
      <x:c r="A129" s="17"/>
      <x:c r="B129" s="17"/>
      <x:c r="C129" s="34"/>
      <x:c r="D129" s="34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9" t="str">
        <x:f>IF(A129="","",IFERROR(P129/O129,0))</x:f>
      </x:c>
      <x:c r="S129" s="19" t="str">
        <x:f>IF(A129="","",IFERROR(Q129/O129,0))</x:f>
      </x:c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</x:row>
    <x:row r="130" ht="28" customHeight="1">
      <x:c r="A130" s="17"/>
      <x:c r="B130" s="17"/>
      <x:c r="C130" s="34"/>
      <x:c r="D130" s="34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9" t="str">
        <x:f>IF(A130="","",IFERROR(P130/O130,0))</x:f>
      </x:c>
      <x:c r="S130" s="19" t="str">
        <x:f>IF(A130="","",IFERROR(Q130/O130,0))</x:f>
      </x:c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</x:row>
    <x:row r="131" ht="28" customHeight="1">
      <x:c r="A131" s="17"/>
      <x:c r="B131" s="17"/>
      <x:c r="C131" s="34"/>
      <x:c r="D131" s="34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9" t="str">
        <x:f>IF(A131="","",IFERROR(P131/O131,0))</x:f>
      </x:c>
      <x:c r="S131" s="19" t="str">
        <x:f>IF(A131="","",IFERROR(Q131/O131,0))</x:f>
      </x:c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</x:row>
    <x:row r="132" ht="28" customHeight="1">
      <x:c r="A132" s="17"/>
      <x:c r="B132" s="17"/>
      <x:c r="C132" s="34"/>
      <x:c r="D132" s="34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9" t="str">
        <x:f>IF(A132="","",IFERROR(P132/O132,0))</x:f>
      </x:c>
      <x:c r="S132" s="19" t="str">
        <x:f>IF(A132="","",IFERROR(Q132/O132,0))</x:f>
      </x:c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</x:row>
    <x:row r="133" ht="28" customHeight="1">
      <x:c r="A133" s="17"/>
      <x:c r="B133" s="17"/>
      <x:c r="C133" s="34"/>
      <x:c r="D133" s="34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9" t="str">
        <x:f>IF(A133="","",IFERROR(P133/O133,0))</x:f>
      </x:c>
      <x:c r="S133" s="19" t="str">
        <x:f>IF(A133="","",IFERROR(Q133/O133,0))</x:f>
      </x:c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</x:row>
    <x:row r="134" ht="28" customHeight="1">
      <x:c r="A134" s="17"/>
      <x:c r="B134" s="17"/>
      <x:c r="C134" s="34"/>
      <x:c r="D134" s="34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9" t="str">
        <x:f>IF(A134="","",IFERROR(P134/O134,0))</x:f>
      </x:c>
      <x:c r="S134" s="19" t="str">
        <x:f>IF(A134="","",IFERROR(Q134/O134,0))</x:f>
      </x:c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</x:row>
    <x:row r="135" ht="28" customHeight="1">
      <x:c r="A135" s="17"/>
      <x:c r="B135" s="17"/>
      <x:c r="C135" s="34"/>
      <x:c r="D135" s="34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9" t="str">
        <x:f>IF(A135="","",IFERROR(P135/O135,0))</x:f>
      </x:c>
      <x:c r="S135" s="19" t="str">
        <x:f>IF(A135="","",IFERROR(Q135/O135,0))</x:f>
      </x:c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</x:row>
    <x:row r="136" ht="28" customHeight="1">
      <x:c r="A136" s="17"/>
      <x:c r="B136" s="17"/>
      <x:c r="C136" s="34"/>
      <x:c r="D136" s="34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9" t="str">
        <x:f>IF(A136="","",IFERROR(P136/O136,0))</x:f>
      </x:c>
      <x:c r="S136" s="19" t="str">
        <x:f>IF(A136="","",IFERROR(Q136/O136,0))</x:f>
      </x:c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</x:row>
    <x:row r="137" ht="28" customHeight="1">
      <x:c r="A137" s="17"/>
      <x:c r="B137" s="17"/>
      <x:c r="C137" s="34"/>
      <x:c r="D137" s="34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9" t="str">
        <x:f>IF(A137="","",IFERROR(P137/O137,0))</x:f>
      </x:c>
      <x:c r="S137" s="19" t="str">
        <x:f>IF(A137="","",IFERROR(Q137/O137,0))</x:f>
      </x:c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</x:row>
    <x:row r="138" ht="28" customHeight="1">
      <x:c r="A138" s="17"/>
      <x:c r="B138" s="17"/>
      <x:c r="C138" s="34"/>
      <x:c r="D138" s="34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9" t="str">
        <x:f>IF(A138="","",IFERROR(P138/O138,0))</x:f>
      </x:c>
      <x:c r="S138" s="19" t="str">
        <x:f>IF(A138="","",IFERROR(Q138/O138,0))</x:f>
      </x:c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</x:row>
    <x:row r="139" ht="28" customHeight="1">
      <x:c r="A139" s="17"/>
      <x:c r="B139" s="17"/>
      <x:c r="C139" s="34"/>
      <x:c r="D139" s="34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9" t="str">
        <x:f>IF(A139="","",IFERROR(P139/O139,0))</x:f>
      </x:c>
      <x:c r="S139" s="19" t="str">
        <x:f>IF(A139="","",IFERROR(Q139/O139,0))</x:f>
      </x:c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</x:row>
    <x:row r="140" ht="28" customHeight="1">
      <x:c r="A140" s="17"/>
      <x:c r="B140" s="17"/>
      <x:c r="C140" s="34"/>
      <x:c r="D140" s="34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9" t="str">
        <x:f>IF(A140="","",IFERROR(P140/O140,0))</x:f>
      </x:c>
      <x:c r="S140" s="19" t="str">
        <x:f>IF(A140="","",IFERROR(Q140/O140,0))</x:f>
      </x:c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</x:row>
    <x:row r="141" ht="28" customHeight="1">
      <x:c r="A141" s="17"/>
      <x:c r="B141" s="17"/>
      <x:c r="C141" s="34"/>
      <x:c r="D141" s="34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9" t="str">
        <x:f>IF(A141="","",IFERROR(P141/O141,0))</x:f>
      </x:c>
      <x:c r="S141" s="19" t="str">
        <x:f>IF(A141="","",IFERROR(Q141/O141,0))</x:f>
      </x:c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</x:row>
    <x:row r="142" ht="28" customHeight="1">
      <x:c r="A142" s="17"/>
      <x:c r="B142" s="17"/>
      <x:c r="C142" s="34"/>
      <x:c r="D142" s="34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9" t="str">
        <x:f>IF(A142="","",IFERROR(P142/O142,0))</x:f>
      </x:c>
      <x:c r="S142" s="19" t="str">
        <x:f>IF(A142="","",IFERROR(Q142/O142,0))</x:f>
      </x:c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</x:row>
    <x:row r="143" ht="28" customHeight="1">
      <x:c r="A143" s="17"/>
      <x:c r="B143" s="17"/>
      <x:c r="C143" s="34"/>
      <x:c r="D143" s="34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9" t="str">
        <x:f>IF(A143="","",IFERROR(P143/O143,0))</x:f>
      </x:c>
      <x:c r="S143" s="19" t="str">
        <x:f>IF(A143="","",IFERROR(Q143/O143,0))</x:f>
      </x:c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</x:row>
    <x:row r="144" ht="28" customHeight="1">
      <x:c r="A144" s="17"/>
      <x:c r="B144" s="17"/>
      <x:c r="C144" s="34"/>
      <x:c r="D144" s="34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9" t="str">
        <x:f>IF(A144="","",IFERROR(P144/O144,0))</x:f>
      </x:c>
      <x:c r="S144" s="19" t="str">
        <x:f>IF(A144="","",IFERROR(Q144/O144,0))</x:f>
      </x:c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</x:row>
    <x:row r="145" ht="28" customHeight="1">
      <x:c r="A145" s="17"/>
      <x:c r="B145" s="17"/>
      <x:c r="C145" s="34"/>
      <x:c r="D145" s="34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9" t="str">
        <x:f>IF(A145="","",IFERROR(P145/O145,0))</x:f>
      </x:c>
      <x:c r="S145" s="19" t="str">
        <x:f>IF(A145="","",IFERROR(Q145/O145,0))</x:f>
      </x:c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</x:row>
    <x:row r="146" ht="28" customHeight="1">
      <x:c r="A146" s="17"/>
      <x:c r="B146" s="17"/>
      <x:c r="C146" s="34"/>
      <x:c r="D146" s="34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9" t="str">
        <x:f>IF(A146="","",IFERROR(P146/O146,0))</x:f>
      </x:c>
      <x:c r="S146" s="19" t="str">
        <x:f>IF(A146="","",IFERROR(Q146/O146,0))</x:f>
      </x:c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</x:row>
    <x:row r="147" ht="28" customHeight="1">
      <x:c r="A147" s="17"/>
      <x:c r="B147" s="17"/>
      <x:c r="C147" s="34"/>
      <x:c r="D147" s="34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9" t="str">
        <x:f>IF(A147="","",IFERROR(P147/O147,0))</x:f>
      </x:c>
      <x:c r="S147" s="19" t="str">
        <x:f>IF(A147="","",IFERROR(Q147/O147,0))</x:f>
      </x:c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</x:row>
    <x:row r="148" ht="28" customHeight="1">
      <x:c r="A148" s="17"/>
      <x:c r="B148" s="17"/>
      <x:c r="C148" s="34"/>
      <x:c r="D148" s="34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9" t="str">
        <x:f>IF(A148="","",IFERROR(P148/O148,0))</x:f>
      </x:c>
      <x:c r="S148" s="19" t="str">
        <x:f>IF(A148="","",IFERROR(Q148/O148,0))</x:f>
      </x:c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</x:row>
    <x:row r="149" ht="28" customHeight="1">
      <x:c r="A149" s="17"/>
      <x:c r="B149" s="17"/>
      <x:c r="C149" s="34"/>
      <x:c r="D149" s="34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9" t="str">
        <x:f>IF(A149="","",IFERROR(P149/O149,0))</x:f>
      </x:c>
      <x:c r="S149" s="19" t="str">
        <x:f>IF(A149="","",IFERROR(Q149/O149,0))</x:f>
      </x:c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</x:row>
    <x:row r="150" ht="28" customHeight="1">
      <x:c r="A150" s="17"/>
      <x:c r="B150" s="17"/>
      <x:c r="C150" s="34"/>
      <x:c r="D150" s="34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9" t="str">
        <x:f>IF(A150="","",IFERROR(P150/O150,0))</x:f>
      </x:c>
      <x:c r="S150" s="19" t="str">
        <x:f>IF(A150="","",IFERROR(Q150/O150,0))</x:f>
      </x:c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</x:row>
    <x:row r="151" ht="28" customHeight="1">
      <x:c r="A151" s="17"/>
      <x:c r="B151" s="17"/>
      <x:c r="C151" s="34"/>
      <x:c r="D151" s="34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9" t="str">
        <x:f>IF(A151="","",IFERROR(P151/O151,0))</x:f>
      </x:c>
      <x:c r="S151" s="19" t="str">
        <x:f>IF(A151="","",IFERROR(Q151/O151,0))</x:f>
      </x:c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</x:row>
    <x:row r="152" ht="28" customHeight="1">
      <x:c r="A152" s="17"/>
      <x:c r="B152" s="17"/>
      <x:c r="C152" s="34"/>
      <x:c r="D152" s="34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9" t="str">
        <x:f>IF(A152="","",IFERROR(P152/O152,0))</x:f>
      </x:c>
      <x:c r="S152" s="19" t="str">
        <x:f>IF(A152="","",IFERROR(Q152/O152,0))</x:f>
      </x:c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</x:row>
    <x:row r="153" ht="28" customHeight="1">
      <x:c r="A153" s="17"/>
      <x:c r="B153" s="17"/>
      <x:c r="C153" s="34"/>
      <x:c r="D153" s="34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9" t="str">
        <x:f>IF(A153="","",IFERROR(P153/O153,0))</x:f>
      </x:c>
      <x:c r="S153" s="19" t="str">
        <x:f>IF(A153="","",IFERROR(Q153/O153,0))</x:f>
      </x:c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</x:row>
    <x:row r="154" ht="28" customHeight="1">
      <x:c r="A154" s="17"/>
      <x:c r="B154" s="17"/>
      <x:c r="C154" s="34"/>
      <x:c r="D154" s="34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9" t="str">
        <x:f>IF(A154="","",IFERROR(P154/O154,0))</x:f>
      </x:c>
      <x:c r="S154" s="19" t="str">
        <x:f>IF(A154="","",IFERROR(Q154/O154,0))</x:f>
      </x:c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</x:row>
    <x:row r="155" ht="28" customHeight="1">
      <x:c r="A155" s="17"/>
      <x:c r="B155" s="17"/>
      <x:c r="C155" s="34"/>
      <x:c r="D155" s="34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9" t="str">
        <x:f>IF(A155="","",IFERROR(P155/O155,0))</x:f>
      </x:c>
      <x:c r="S155" s="19" t="str">
        <x:f>IF(A155="","",IFERROR(Q155/O155,0))</x:f>
      </x:c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</x:row>
    <x:row r="156" ht="28" customHeight="1">
      <x:c r="A156" s="17"/>
      <x:c r="B156" s="17"/>
      <x:c r="C156" s="34"/>
      <x:c r="D156" s="34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9" t="str">
        <x:f>IF(A156="","",IFERROR(P156/O156,0))</x:f>
      </x:c>
      <x:c r="S156" s="19" t="str">
        <x:f>IF(A156="","",IFERROR(Q156/O156,0))</x:f>
      </x:c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</x:row>
    <x:row r="157" ht="28" customHeight="1">
      <x:c r="A157" s="17"/>
      <x:c r="B157" s="17"/>
      <x:c r="C157" s="34"/>
      <x:c r="D157" s="34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9" t="str">
        <x:f>IF(A157="","",IFERROR(P157/O157,0))</x:f>
      </x:c>
      <x:c r="S157" s="19" t="str">
        <x:f>IF(A157="","",IFERROR(Q157/O157,0))</x:f>
      </x:c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</x:row>
    <x:row r="158" ht="28" customHeight="1">
      <x:c r="A158" s="17"/>
      <x:c r="B158" s="17"/>
      <x:c r="C158" s="34"/>
      <x:c r="D158" s="34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9" t="str">
        <x:f>IF(A158="","",IFERROR(P158/O158,0))</x:f>
      </x:c>
      <x:c r="S158" s="19" t="str">
        <x:f>IF(A158="","",IFERROR(Q158/O158,0))</x:f>
      </x:c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</x:row>
    <x:row r="159" ht="28" customHeight="1">
      <x:c r="A159" s="17"/>
      <x:c r="B159" s="17"/>
      <x:c r="C159" s="34"/>
      <x:c r="D159" s="34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9" t="str">
        <x:f>IF(A159="","",IFERROR(P159/O159,0))</x:f>
      </x:c>
      <x:c r="S159" s="19" t="str">
        <x:f>IF(A159="","",IFERROR(Q159/O159,0))</x:f>
      </x:c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</x:row>
    <x:row r="160" ht="28" customHeight="1">
      <x:c r="A160" s="17"/>
      <x:c r="B160" s="17"/>
      <x:c r="C160" s="34"/>
      <x:c r="D160" s="34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9" t="str">
        <x:f>IF(A160="","",IFERROR(P160/O160,0))</x:f>
      </x:c>
      <x:c r="S160" s="19" t="str">
        <x:f>IF(A160="","",IFERROR(Q160/O160,0))</x:f>
      </x:c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</x:row>
    <x:row r="161" ht="28" customHeight="1">
      <x:c r="A161" s="17"/>
      <x:c r="B161" s="17"/>
      <x:c r="C161" s="34"/>
      <x:c r="D161" s="34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9" t="str">
        <x:f>IF(A161="","",IFERROR(P161/O161,0))</x:f>
      </x:c>
      <x:c r="S161" s="19" t="str">
        <x:f>IF(A161="","",IFERROR(Q161/O161,0))</x:f>
      </x:c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</x:row>
    <x:row r="162" ht="28" customHeight="1">
      <x:c r="A162" s="17"/>
      <x:c r="B162" s="17"/>
      <x:c r="C162" s="34"/>
      <x:c r="D162" s="34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9" t="str">
        <x:f>IF(A162="","",IFERROR(P162/O162,0))</x:f>
      </x:c>
      <x:c r="S162" s="19" t="str">
        <x:f>IF(A162="","",IFERROR(Q162/O162,0))</x:f>
      </x:c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</x:row>
    <x:row r="163" ht="28" customHeight="1">
      <x:c r="A163" s="17"/>
      <x:c r="B163" s="17"/>
      <x:c r="C163" s="34"/>
      <x:c r="D163" s="34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9" t="str">
        <x:f>IF(A163="","",IFERROR(P163/O163,0))</x:f>
      </x:c>
      <x:c r="S163" s="19" t="str">
        <x:f>IF(A163="","",IFERROR(Q163/O163,0))</x:f>
      </x:c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</x:row>
    <x:row r="164" ht="28" customHeight="1">
      <x:c r="A164" s="17"/>
      <x:c r="B164" s="17"/>
      <x:c r="C164" s="34"/>
      <x:c r="D164" s="34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9" t="str">
        <x:f>IF(A164="","",IFERROR(P164/O164,0))</x:f>
      </x:c>
      <x:c r="S164" s="19" t="str">
        <x:f>IF(A164="","",IFERROR(Q164/O164,0))</x:f>
      </x:c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</x:row>
    <x:row r="165" ht="28" customHeight="1">
      <x:c r="A165" s="17"/>
      <x:c r="B165" s="17"/>
      <x:c r="C165" s="34"/>
      <x:c r="D165" s="34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9" t="str">
        <x:f>IF(A165="","",IFERROR(P165/O165,0))</x:f>
      </x:c>
      <x:c r="S165" s="19" t="str">
        <x:f>IF(A165="","",IFERROR(Q165/O165,0))</x:f>
      </x:c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</x:row>
    <x:row r="166" ht="28" customHeight="1">
      <x:c r="A166" s="17"/>
      <x:c r="B166" s="17"/>
      <x:c r="C166" s="34"/>
      <x:c r="D166" s="34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9" t="str">
        <x:f>IF(A166="","",IFERROR(P166/O166,0))</x:f>
      </x:c>
      <x:c r="S166" s="19" t="str">
        <x:f>IF(A166="","",IFERROR(Q166/O166,0))</x:f>
      </x:c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</x:row>
    <x:row r="167" ht="28" customHeight="1">
      <x:c r="A167" s="17"/>
      <x:c r="B167" s="17"/>
      <x:c r="C167" s="34"/>
      <x:c r="D167" s="34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9" t="str">
        <x:f>IF(A167="","",IFERROR(P167/O167,0))</x:f>
      </x:c>
      <x:c r="S167" s="19" t="str">
        <x:f>IF(A167="","",IFERROR(Q167/O167,0))</x:f>
      </x:c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</x:row>
    <x:row r="168" ht="28" customHeight="1">
      <x:c r="A168" s="17"/>
      <x:c r="B168" s="17"/>
      <x:c r="C168" s="34"/>
      <x:c r="D168" s="34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9" t="str">
        <x:f>IF(A168="","",IFERROR(P168/O168,0))</x:f>
      </x:c>
      <x:c r="S168" s="19" t="str">
        <x:f>IF(A168="","",IFERROR(Q168/O168,0))</x:f>
      </x:c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</x:row>
    <x:row r="169" ht="28" customHeight="1">
      <x:c r="A169" s="17"/>
      <x:c r="B169" s="17"/>
      <x:c r="C169" s="34"/>
      <x:c r="D169" s="34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9" t="str">
        <x:f>IF(A169="","",IFERROR(P169/O169,0))</x:f>
      </x:c>
      <x:c r="S169" s="19" t="str">
        <x:f>IF(A169="","",IFERROR(Q169/O169,0))</x:f>
      </x:c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</x:row>
    <x:row r="170" ht="28" customHeight="1">
      <x:c r="A170" s="17"/>
      <x:c r="B170" s="17"/>
      <x:c r="C170" s="34"/>
      <x:c r="D170" s="34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9" t="str">
        <x:f>IF(A170="","",IFERROR(P170/O170,0))</x:f>
      </x:c>
      <x:c r="S170" s="19" t="str">
        <x:f>IF(A170="","",IFERROR(Q170/O170,0))</x:f>
      </x:c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</x:row>
    <x:row r="171" ht="28" customHeight="1">
      <x:c r="A171" s="17"/>
      <x:c r="B171" s="17"/>
      <x:c r="C171" s="34"/>
      <x:c r="D171" s="34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9" t="str">
        <x:f>IF(A171="","",IFERROR(P171/O171,0))</x:f>
      </x:c>
      <x:c r="S171" s="19" t="str">
        <x:f>IF(A171="","",IFERROR(Q171/O171,0))</x:f>
      </x:c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</x:row>
    <x:row r="172" ht="28" customHeight="1">
      <x:c r="A172" s="17"/>
      <x:c r="B172" s="17"/>
      <x:c r="C172" s="34"/>
      <x:c r="D172" s="34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9" t="str">
        <x:f>IF(A172="","",IFERROR(P172/O172,0))</x:f>
      </x:c>
      <x:c r="S172" s="19" t="str">
        <x:f>IF(A172="","",IFERROR(Q172/O172,0))</x:f>
      </x:c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</x:row>
    <x:row r="173" ht="28" customHeight="1">
      <x:c r="A173" s="17"/>
      <x:c r="B173" s="17"/>
      <x:c r="C173" s="34"/>
      <x:c r="D173" s="34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9" t="str">
        <x:f>IF(A173="","",IFERROR(P173/O173,0))</x:f>
      </x:c>
      <x:c r="S173" s="19" t="str">
        <x:f>IF(A173="","",IFERROR(Q173/O173,0))</x:f>
      </x:c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</x:row>
    <x:row r="174" ht="28" customHeight="1">
      <x:c r="A174" s="17"/>
      <x:c r="B174" s="17"/>
      <x:c r="C174" s="34"/>
      <x:c r="D174" s="34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9" t="str">
        <x:f>IF(A174="","",IFERROR(P174/O174,0))</x:f>
      </x:c>
      <x:c r="S174" s="19" t="str">
        <x:f>IF(A174="","",IFERROR(Q174/O174,0))</x:f>
      </x:c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</x:row>
    <x:row r="175" ht="28" customHeight="1">
      <x:c r="A175" s="17"/>
      <x:c r="B175" s="17"/>
      <x:c r="C175" s="34"/>
      <x:c r="D175" s="34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9" t="str">
        <x:f>IF(A175="","",IFERROR(P175/O175,0))</x:f>
      </x:c>
      <x:c r="S175" s="19" t="str">
        <x:f>IF(A175="","",IFERROR(Q175/O175,0))</x:f>
      </x:c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</x:row>
    <x:row r="176" ht="28" customHeight="1">
      <x:c r="A176" s="17"/>
      <x:c r="B176" s="17"/>
      <x:c r="C176" s="34"/>
      <x:c r="D176" s="34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9" t="str">
        <x:f>IF(A176="","",IFERROR(P176/O176,0))</x:f>
      </x:c>
      <x:c r="S176" s="19" t="str">
        <x:f>IF(A176="","",IFERROR(Q176/O176,0))</x:f>
      </x:c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</x:row>
    <x:row r="177" ht="28" customHeight="1">
      <x:c r="A177" s="17"/>
      <x:c r="B177" s="17"/>
      <x:c r="C177" s="34"/>
      <x:c r="D177" s="34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9" t="str">
        <x:f>IF(A177="","",IFERROR(P177/O177,0))</x:f>
      </x:c>
      <x:c r="S177" s="19" t="str">
        <x:f>IF(A177="","",IFERROR(Q177/O177,0))</x:f>
      </x:c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</x:row>
    <x:row r="178" ht="28" customHeight="1">
      <x:c r="A178" s="17"/>
      <x:c r="B178" s="17"/>
      <x:c r="C178" s="34"/>
      <x:c r="D178" s="34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9" t="str">
        <x:f>IF(A178="","",IFERROR(P178/O178,0))</x:f>
      </x:c>
      <x:c r="S178" s="19" t="str">
        <x:f>IF(A178="","",IFERROR(Q178/O178,0))</x:f>
      </x:c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</x:row>
    <x:row r="179" ht="28" customHeight="1">
      <x:c r="A179" s="17"/>
      <x:c r="B179" s="17"/>
      <x:c r="C179" s="34"/>
      <x:c r="D179" s="34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9" t="str">
        <x:f>IF(A179="","",IFERROR(P179/O179,0))</x:f>
      </x:c>
      <x:c r="S179" s="19" t="str">
        <x:f>IF(A179="","",IFERROR(Q179/O179,0))</x:f>
      </x:c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</x:row>
    <x:row r="180" ht="28" customHeight="1">
      <x:c r="A180" s="17"/>
      <x:c r="B180" s="17"/>
      <x:c r="C180" s="34"/>
      <x:c r="D180" s="34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9" t="str">
        <x:f>IF(A180="","",IFERROR(P180/O180,0))</x:f>
      </x:c>
      <x:c r="S180" s="19" t="str">
        <x:f>IF(A180="","",IFERROR(Q180/O180,0))</x:f>
      </x:c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</x:row>
    <x:row r="181" ht="28" customHeight="1">
      <x:c r="A181" s="17"/>
      <x:c r="B181" s="17"/>
      <x:c r="C181" s="34"/>
      <x:c r="D181" s="34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9" t="str">
        <x:f>IF(A181="","",IFERROR(P181/O181,0))</x:f>
      </x:c>
      <x:c r="S181" s="19" t="str">
        <x:f>IF(A181="","",IFERROR(Q181/O181,0))</x:f>
      </x:c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</x:row>
    <x:row r="182" ht="28" customHeight="1">
      <x:c r="A182" s="17"/>
      <x:c r="B182" s="17"/>
      <x:c r="C182" s="34"/>
      <x:c r="D182" s="34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9" t="str">
        <x:f>IF(A182="","",IFERROR(P182/O182,0))</x:f>
      </x:c>
      <x:c r="S182" s="19" t="str">
        <x:f>IF(A182="","",IFERROR(Q182/O182,0))</x:f>
      </x:c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</x:row>
    <x:row r="183" ht="28" customHeight="1">
      <x:c r="A183" s="17"/>
      <x:c r="B183" s="17"/>
      <x:c r="C183" s="34"/>
      <x:c r="D183" s="34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9" t="str">
        <x:f>IF(A183="","",IFERROR(P183/O183,0))</x:f>
      </x:c>
      <x:c r="S183" s="19" t="str">
        <x:f>IF(A183="","",IFERROR(Q183/O183,0))</x:f>
      </x:c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</x:row>
    <x:row r="184" ht="28" customHeight="1">
      <x:c r="A184" s="17"/>
      <x:c r="B184" s="17"/>
      <x:c r="C184" s="34"/>
      <x:c r="D184" s="34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9" t="str">
        <x:f>IF(A184="","",IFERROR(P184/O184,0))</x:f>
      </x:c>
      <x:c r="S184" s="19" t="str">
        <x:f>IF(A184="","",IFERROR(Q184/O184,0))</x:f>
      </x:c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</x:row>
    <x:row r="185" ht="28" customHeight="1">
      <x:c r="A185" s="17"/>
      <x:c r="B185" s="17"/>
      <x:c r="C185" s="34"/>
      <x:c r="D185" s="34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9" t="str">
        <x:f>IF(A185="","",IFERROR(P185/O185,0))</x:f>
      </x:c>
      <x:c r="S185" s="19" t="str">
        <x:f>IF(A185="","",IFERROR(Q185/O185,0))</x:f>
      </x:c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</x:row>
    <x:row r="186" ht="28" customHeight="1">
      <x:c r="A186" s="17"/>
      <x:c r="B186" s="17"/>
      <x:c r="C186" s="34"/>
      <x:c r="D186" s="34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9" t="str">
        <x:f>IF(A186="","",IFERROR(P186/O186,0))</x:f>
      </x:c>
      <x:c r="S186" s="19" t="str">
        <x:f>IF(A186="","",IFERROR(Q186/O186,0))</x:f>
      </x:c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</x:row>
    <x:row r="187" ht="28" customHeight="1">
      <x:c r="A187" s="17"/>
      <x:c r="B187" s="17"/>
      <x:c r="C187" s="34"/>
      <x:c r="D187" s="34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9" t="str">
        <x:f>IF(A187="","",IFERROR(P187/O187,0))</x:f>
      </x:c>
      <x:c r="S187" s="19" t="str">
        <x:f>IF(A187="","",IFERROR(Q187/O187,0))</x:f>
      </x:c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</x:row>
    <x:row r="188" ht="28" customHeight="1">
      <x:c r="A188" s="17"/>
      <x:c r="B188" s="17"/>
      <x:c r="C188" s="34"/>
      <x:c r="D188" s="34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9" t="str">
        <x:f>IF(A188="","",IFERROR(P188/O188,0))</x:f>
      </x:c>
      <x:c r="S188" s="19" t="str">
        <x:f>IF(A188="","",IFERROR(Q188/O188,0))</x:f>
      </x:c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</x:row>
    <x:row r="189" ht="28" customHeight="1">
      <x:c r="A189" s="17"/>
      <x:c r="B189" s="17"/>
      <x:c r="C189" s="34"/>
      <x:c r="D189" s="34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9" t="str">
        <x:f>IF(A189="","",IFERROR(P189/O189,0))</x:f>
      </x:c>
      <x:c r="S189" s="19" t="str">
        <x:f>IF(A189="","",IFERROR(Q189/O189,0))</x:f>
      </x:c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</x:row>
    <x:row r="190" ht="28" customHeight="1">
      <x:c r="A190" s="17"/>
      <x:c r="B190" s="17"/>
      <x:c r="C190" s="34"/>
      <x:c r="D190" s="34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9" t="str">
        <x:f>IF(A190="","",IFERROR(P190/O190,0))</x:f>
      </x:c>
      <x:c r="S190" s="19" t="str">
        <x:f>IF(A190="","",IFERROR(Q190/O190,0))</x:f>
      </x:c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</x:row>
    <x:row r="191" ht="28" customHeight="1">
      <x:c r="A191" s="17"/>
      <x:c r="B191" s="17"/>
      <x:c r="C191" s="34"/>
      <x:c r="D191" s="34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9" t="str">
        <x:f>IF(A191="","",IFERROR(P191/O191,0))</x:f>
      </x:c>
      <x:c r="S191" s="19" t="str">
        <x:f>IF(A191="","",IFERROR(Q191/O191,0))</x:f>
      </x:c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</x:row>
    <x:row r="192" ht="28" customHeight="1">
      <x:c r="A192" s="17"/>
      <x:c r="B192" s="17"/>
      <x:c r="C192" s="34"/>
      <x:c r="D192" s="34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9" t="str">
        <x:f>IF(A192="","",IFERROR(P192/O192,0))</x:f>
      </x:c>
      <x:c r="S192" s="19" t="str">
        <x:f>IF(A192="","",IFERROR(Q192/O192,0))</x:f>
      </x:c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</x:row>
    <x:row r="193" ht="28" customHeight="1">
      <x:c r="A193" s="17"/>
      <x:c r="B193" s="17"/>
      <x:c r="C193" s="34"/>
      <x:c r="D193" s="34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9" t="str">
        <x:f>IF(A193="","",IFERROR(P193/O193,0))</x:f>
      </x:c>
      <x:c r="S193" s="19" t="str">
        <x:f>IF(A193="","",IFERROR(Q193/O193,0))</x:f>
      </x:c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</x:row>
    <x:row r="194" ht="28" customHeight="1">
      <x:c r="A194" s="17"/>
      <x:c r="B194" s="17"/>
      <x:c r="C194" s="34"/>
      <x:c r="D194" s="34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9" t="str">
        <x:f>IF(A194="","",IFERROR(P194/O194,0))</x:f>
      </x:c>
      <x:c r="S194" s="19" t="str">
        <x:f>IF(A194="","",IFERROR(Q194/O194,0))</x:f>
      </x:c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</x:row>
    <x:row r="195" ht="28" customHeight="1">
      <x:c r="A195" s="17"/>
      <x:c r="B195" s="17"/>
      <x:c r="C195" s="34"/>
      <x:c r="D195" s="34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9" t="str">
        <x:f>IF(A195="","",IFERROR(P195/O195,0))</x:f>
      </x:c>
      <x:c r="S195" s="19" t="str">
        <x:f>IF(A195="","",IFERROR(Q195/O195,0))</x:f>
      </x:c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</x:row>
    <x:row r="196" ht="28" customHeight="1">
      <x:c r="A196" s="17"/>
      <x:c r="B196" s="17"/>
      <x:c r="C196" s="34"/>
      <x:c r="D196" s="34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9" t="str">
        <x:f>IF(A196="","",IFERROR(P196/O196,0))</x:f>
      </x:c>
      <x:c r="S196" s="19" t="str">
        <x:f>IF(A196="","",IFERROR(Q196/O196,0))</x:f>
      </x:c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</x:row>
    <x:row r="197" ht="28" customHeight="1">
      <x:c r="A197" s="17"/>
      <x:c r="B197" s="17"/>
      <x:c r="C197" s="34"/>
      <x:c r="D197" s="34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9" t="str">
        <x:f>IF(A197="","",IFERROR(P197/O197,0))</x:f>
      </x:c>
      <x:c r="S197" s="19" t="str">
        <x:f>IF(A197="","",IFERROR(Q197/O197,0))</x:f>
      </x:c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</x:row>
    <x:row r="198" ht="28" customHeight="1">
      <x:c r="A198" s="17"/>
      <x:c r="B198" s="17"/>
      <x:c r="C198" s="34"/>
      <x:c r="D198" s="34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9" t="str">
        <x:f>IF(A198="","",IFERROR(P198/O198,0))</x:f>
      </x:c>
      <x:c r="S198" s="19" t="str">
        <x:f>IF(A198="","",IFERROR(Q198/O198,0))</x:f>
      </x:c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</x:row>
    <x:row r="199" ht="28" customHeight="1">
      <x:c r="A199" s="17"/>
      <x:c r="B199" s="17"/>
      <x:c r="C199" s="34"/>
      <x:c r="D199" s="34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9" t="str">
        <x:f>IF(A199="","",IFERROR(P199/O199,0))</x:f>
      </x:c>
      <x:c r="S199" s="19" t="str">
        <x:f>IF(A199="","",IFERROR(Q199/O199,0))</x:f>
      </x:c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</x:row>
    <x:row r="200" ht="28" customHeight="1">
      <x:c r="A200" s="17"/>
      <x:c r="B200" s="17"/>
      <x:c r="C200" s="34"/>
      <x:c r="D200" s="34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9" t="str">
        <x:f>IF(A200="","",IFERROR(P200/O200,0))</x:f>
      </x:c>
      <x:c r="S200" s="19" t="str">
        <x:f>IF(A200="","",IFERROR(Q200/O200,0))</x:f>
      </x:c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</x:row>
    <x:row r="201" ht="28" customHeight="1">
      <x:c r="A201" s="17"/>
      <x:c r="B201" s="17"/>
      <x:c r="C201" s="34"/>
      <x:c r="D201" s="34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9" t="str">
        <x:f>IF(A201="","",IFERROR(P201/O201,0))</x:f>
      </x:c>
      <x:c r="S201" s="19" t="str">
        <x:f>IF(A201="","",IFERROR(Q201/O201,0))</x:f>
      </x:c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</x:row>
  </x:sheetData>
  <x:conditionalFormatting sqref="R2:S201">
    <x:cfRule type="colorScale" priority="1">
      <x:colorScale>
        <x:cfvo type="min"/>
        <x:cfvo type="percentile" val="50"/>
        <x:cfvo type="max"/>
        <x:color rgb="FFFDECEC"/>
        <x:color rgb="FFFFF4D6"/>
        <x:color rgb="FFE7F6EF"/>
      </x:colorScale>
    </x:cfRule>
  </x:conditionalFormatting>
  <x:conditionalFormatting sqref="Z2:Z201">
    <x:cfRule type="containsText" dxfId="25" priority="2" operator="containsText" text="pass"/>
    <x:cfRule type="containsText" dxfId="26" priority="3" operator="containsText" text="completed"/>
    <x:cfRule type="containsText" dxfId="27" priority="4" operator="containsText" text="fail"/>
    <x:cfRule type="containsText" dxfId="28" priority="5" operator="containsText" text="blocked"/>
    <x:cfRule type="containsText" dxfId="29" priority="6" operator="containsText" text="partial"/>
  </x:conditionalFormatting>
  <x:dataValidations count="9">
    <x:dataValidation type="list" sqref="H2:H201">
      <x:formula1>"accept,narrow,redact,reject,escalate"</x:formula1>
    </x:dataValidation>
    <x:dataValidation type="list" sqref="I2:I201">
      <x:formula1>"yes,no"</x:formula1>
    </x:dataValidation>
    <x:dataValidation type="list" sqref="K2:K201">
      <x:formula1>"yes,no"</x:formula1>
    </x:dataValidation>
    <x:dataValidation type="list" sqref="M2:M201">
      <x:formula1>"yes,no"</x:formula1>
    </x:dataValidation>
    <x:dataValidation type="list" sqref="N2:N201">
      <x:formula1>"yes,no"</x:formula1>
    </x:dataValidation>
    <x:dataValidation type="whole" operator="between" sqref="J2:J201">
      <x:formula1>0</x:formula1>
      <x:formula2>5</x:formula2>
    </x:dataValidation>
    <x:dataValidation type="list" sqref="Z2:Z201">
      <x:formula1>"not-started,running,returned,completed,partial,failed,blocked,abandoned"</x:formula1>
    </x:dataValidation>
    <x:dataValidation type="list" sqref="AA2:AA201">
      <x:formula1>"yes-specific-task,yes-unspecified,maybe,no"</x:formula1>
    </x:dataValidation>
    <x:dataValidation type="list" sqref="AB2:AB201">
      <x:formula1>"strong,weak,none,negative"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16" hidden="0" customWidth="1"/>
    <x:col min="9" max="9" width="16" hidden="0" customWidth="1"/>
    <x:col min="10" max="10" width="36" hidden="0" customWidth="1"/>
  </x:cols>
  <x:sheetData>
    <x:row r="1" ht="32" customHeight="1">
      <x:c r="A1" s="33" t="str">
        <x:v>Experiment ID</x:v>
      </x:c>
      <x:c r="B1" s="33" t="str">
        <x:v>Criterion ID</x:v>
      </x:c>
      <x:c r="C1" s="33" t="str">
        <x:v>Priority</x:v>
      </x:c>
      <x:c r="D1" s="33" t="str">
        <x:v>Requirement</x:v>
      </x:c>
      <x:c r="E1" s="33" t="str">
        <x:v>Verification method</x:v>
      </x:c>
      <x:c r="F1" s="33" t="str">
        <x:v>Required evidence</x:v>
      </x:c>
      <x:c r="G1" s="33" t="str">
        <x:v>Returned evidence</x:v>
      </x:c>
      <x:c r="H1" s="33" t="str">
        <x:v>Status</x:v>
      </x:c>
      <x:c r="I1" s="33" t="str">
        <x:v>Confidence</x:v>
      </x:c>
      <x:c r="J1" s="33" t="str">
        <x:v>Assessor notes</x:v>
      </x:c>
    </x:row>
    <x:row r="2" ht="28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</x:row>
    <x:row r="3" ht="28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 ht="28" customHeight="1">
      <x:c r="A4" s="17"/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8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8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8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8" ht="28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</x:row>
    <x:row r="9" ht="28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</x:row>
    <x:row r="10" ht="28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</x:row>
    <x:row r="11" ht="28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</x:row>
    <x:row r="12" ht="28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</x:row>
    <x:row r="13" ht="28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</x:row>
    <x:row r="14" ht="28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</x:row>
    <x:row r="15" ht="28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 ht="28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</x:row>
    <x:row r="17" ht="28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28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28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28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28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28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28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28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28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 ht="28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 ht="28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</x:row>
    <x:row r="28" ht="28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</x:row>
    <x:row r="29" ht="28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 ht="28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 ht="28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</x:row>
    <x:row r="32" ht="28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</x:row>
    <x:row r="33" ht="28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</x:row>
    <x:row r="34" ht="28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</x:row>
    <x:row r="35" ht="28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</x:row>
    <x:row r="36" ht="28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</x:row>
    <x:row r="37" ht="28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</x:row>
    <x:row r="38" ht="28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</x:row>
    <x:row r="39" ht="28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</x:row>
    <x:row r="40" ht="28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</x:row>
    <x:row r="41" ht="28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</x:row>
    <x:row r="42" ht="28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</x:row>
    <x:row r="43" ht="28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</x:row>
    <x:row r="44" ht="28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</x:row>
    <x:row r="45" ht="28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</x:row>
    <x:row r="46" ht="28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</x:row>
    <x:row r="47" ht="28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</x:row>
    <x:row r="48" ht="28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</x:row>
    <x:row r="49" ht="28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</x:row>
    <x:row r="50" ht="28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 ht="28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</x:row>
    <x:row r="52" ht="28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</x:row>
    <x:row r="53" ht="28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</x:row>
    <x:row r="54" ht="28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</x:row>
    <x:row r="55" ht="28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</x:row>
    <x:row r="56" ht="28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</x:row>
    <x:row r="57" ht="28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</x:row>
    <x:row r="58" ht="28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</x:row>
    <x:row r="59" ht="28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</x:row>
    <x:row r="60" ht="28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</x:row>
    <x:row r="61" ht="28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</x:row>
    <x:row r="62" ht="28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</x:row>
    <x:row r="63" ht="28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</x:row>
    <x:row r="64" ht="28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</x:row>
    <x:row r="65" ht="28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</x:row>
    <x:row r="66" ht="28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</x:row>
    <x:row r="67" ht="28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</x:row>
    <x:row r="68" ht="28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</x:row>
    <x:row r="69" ht="28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</x:row>
    <x:row r="70" ht="28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</x:row>
    <x:row r="71" ht="28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</x:row>
    <x:row r="72" ht="28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</x:row>
    <x:row r="73" ht="28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</x:row>
    <x:row r="74" ht="28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</x:row>
    <x:row r="75" ht="28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</x:row>
    <x:row r="76" ht="28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 ht="28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</x:row>
    <x:row r="78" ht="28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</x:row>
    <x:row r="79" ht="28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</x:row>
    <x:row r="80" ht="28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</x:row>
    <x:row r="81" ht="28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</x:row>
    <x:row r="82" ht="28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</x:row>
    <x:row r="83" ht="28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</x:row>
    <x:row r="84" ht="28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</x:row>
    <x:row r="85" ht="28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</x:row>
    <x:row r="86" ht="28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</x:row>
    <x:row r="87" ht="28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</x:row>
    <x:row r="88" ht="28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</x:row>
    <x:row r="89" ht="28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</x:row>
    <x:row r="90" ht="28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</x:row>
    <x:row r="91" ht="28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</x:row>
    <x:row r="92" ht="28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</x:row>
    <x:row r="93" ht="28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</x:row>
    <x:row r="94" ht="28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</x:row>
    <x:row r="95" ht="28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</x:row>
    <x:row r="96" ht="28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</x:row>
    <x:row r="97" ht="28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</x:row>
    <x:row r="98" ht="28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</x:row>
    <x:row r="99" ht="28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</x:row>
    <x:row r="100" ht="28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</x:row>
    <x:row r="101" ht="28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 ht="28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</x:row>
    <x:row r="103" ht="28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</x:row>
    <x:row r="104" ht="28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</x:row>
    <x:row r="105" ht="28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</x:row>
    <x:row r="106" ht="28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</x:row>
    <x:row r="107" ht="28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</x:row>
    <x:row r="108" ht="28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</x:row>
    <x:row r="109" ht="28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</x:row>
    <x:row r="110" ht="28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</x:row>
    <x:row r="111" ht="28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</x:row>
    <x:row r="112" ht="28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</x:row>
    <x:row r="113" ht="28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</x:row>
    <x:row r="114" ht="28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</x:row>
    <x:row r="115" ht="28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</x:row>
    <x:row r="116" ht="28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</x:row>
    <x:row r="117" ht="28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</x:row>
    <x:row r="118" ht="28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</x:row>
    <x:row r="119" ht="28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</x:row>
    <x:row r="120" ht="28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</x:row>
    <x:row r="121" ht="28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</x:row>
    <x:row r="122" ht="28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</x:row>
    <x:row r="123" ht="28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</x:row>
    <x:row r="124" ht="28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</x:row>
    <x:row r="125" ht="28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</x:row>
    <x:row r="126" ht="28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 ht="28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</x:row>
    <x:row r="128" ht="28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</x:row>
    <x:row r="129" ht="28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</x:row>
    <x:row r="130" ht="28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</x:row>
    <x:row r="131" ht="28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</x:row>
    <x:row r="132" ht="28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</x:row>
    <x:row r="133" ht="28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</x:row>
    <x:row r="134" ht="28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</x:row>
    <x:row r="135" ht="28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</x:row>
    <x:row r="136" ht="28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</x:row>
    <x:row r="137" ht="28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</x:row>
    <x:row r="138" ht="28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</x:row>
    <x:row r="139" ht="28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</x:row>
    <x:row r="140" ht="28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</x:row>
    <x:row r="141" ht="28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</x:row>
    <x:row r="142" ht="28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</x:row>
    <x:row r="143" ht="28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</x:row>
    <x:row r="144" ht="28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</x:row>
    <x:row r="145" ht="28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</x:row>
    <x:row r="146" ht="28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</x:row>
    <x:row r="147" ht="28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</x:row>
    <x:row r="148" ht="28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</x:row>
    <x:row r="149" ht="28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</x:row>
    <x:row r="150" ht="28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 ht="28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</x:row>
    <x:row r="152" ht="28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</x:row>
    <x:row r="153" ht="28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</x:row>
    <x:row r="154" ht="28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</x:row>
    <x:row r="155" ht="28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</x:row>
    <x:row r="156" ht="28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</x:row>
    <x:row r="157" ht="28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</x:row>
    <x:row r="158" ht="28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</x:row>
    <x:row r="159" ht="28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</x:row>
    <x:row r="160" ht="28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</x:row>
    <x:row r="161" ht="28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</x:row>
    <x:row r="162" ht="28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</x:row>
    <x:row r="163" ht="28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</x:row>
    <x:row r="164" ht="28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</x:row>
    <x:row r="165" ht="28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</x:row>
    <x:row r="166" ht="28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</x:row>
    <x:row r="167" ht="28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</x:row>
    <x:row r="168" ht="28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</x:row>
    <x:row r="169" ht="28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</x:row>
    <x:row r="170" ht="28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</x:row>
    <x:row r="171" ht="28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</x:row>
    <x:row r="172" ht="28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</x:row>
    <x:row r="173" ht="28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</x:row>
    <x:row r="174" ht="28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</x:row>
    <x:row r="175" ht="28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</x:row>
    <x:row r="176" ht="28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</x:row>
    <x:row r="177" ht="28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</x:row>
    <x:row r="178" ht="28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 ht="28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</x:row>
    <x:row r="180" ht="28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</x:row>
    <x:row r="181" ht="28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</x:row>
    <x:row r="182" ht="28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</x:row>
    <x:row r="183" ht="28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</x:row>
    <x:row r="184" ht="28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</x:row>
    <x:row r="185" ht="28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</x:row>
    <x:row r="186" ht="28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</x:row>
    <x:row r="187" ht="28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</x:row>
    <x:row r="188" ht="28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</x:row>
    <x:row r="189" ht="28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</x:row>
    <x:row r="190" ht="28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</x:row>
    <x:row r="191" ht="28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</x:row>
    <x:row r="192" ht="28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</x:row>
    <x:row r="193" ht="28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</x:row>
    <x:row r="194" ht="28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</x:row>
    <x:row r="195" ht="28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</x:row>
    <x:row r="196" ht="28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</x:row>
    <x:row r="197" ht="28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</x:row>
    <x:row r="198" ht="28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</x:row>
    <x:row r="199" ht="28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</x:row>
    <x:row r="200" ht="28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</x:row>
    <x:row r="201" ht="28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</x:row>
  </x:sheetData>
  <x:conditionalFormatting sqref="H2:H501">
    <x:cfRule type="containsText" dxfId="30" priority="1" operator="containsText" text="pass"/>
    <x:cfRule type="containsText" dxfId="31" priority="2" operator="containsText" text="completed"/>
    <x:cfRule type="containsText" dxfId="32" priority="3" operator="containsText" text="fail"/>
    <x:cfRule type="containsText" dxfId="33" priority="4" operator="containsText" text="blocked"/>
    <x:cfRule type="containsText" dxfId="34" priority="5" operator="containsText" text="partial"/>
  </x:conditionalFormatting>
  <x:dataValidations count="3">
    <x:dataValidation type="list" sqref="C2:C501">
      <x:formula1>"must,should,could"</x:formula1>
    </x:dataValidation>
    <x:dataValidation type="list" sqref="H2:H501">
      <x:formula1>"pass,fail,blocked,unverified,not-applicable"</x:formula1>
    </x:dataValidation>
    <x:dataValidation type="list" sqref="I2:I501">
      <x:formula1>"high,medium,low"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38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</x:cols>
  <x:sheetData>
    <x:row r="1" ht="32" customHeight="1">
      <x:c r="A1" s="33" t="str">
        <x:v>Experiment ID</x:v>
      </x:c>
      <x:c r="B1" s="33" t="str">
        <x:v>Question #</x:v>
      </x:c>
      <x:c r="C1" s="33" t="str">
        <x:v>Category code</x:v>
      </x:c>
      <x:c r="D1" s="33" t="str">
        <x:v>Question</x:v>
      </x:c>
      <x:c r="E1" s="33" t="str">
        <x:v>Participant answer</x:v>
      </x:c>
      <x:c r="F1" s="33" t="str">
        <x:v>Decision source</x:v>
      </x:c>
      <x:c r="G1" s="33" t="str">
        <x:v>Changed contract?</x:v>
      </x:c>
      <x:c r="H1" s="33" t="str">
        <x:v>Related later failure?</x:v>
      </x:c>
      <x:c r="I1" s="33" t="str">
        <x:v>Notes</x:v>
      </x:c>
    </x:row>
    <x:row r="2" ht="28" customHeight="1">
      <x:c r="A2" s="17"/>
      <x:c r="B2" s="17"/>
      <x:c r="C2" s="17"/>
      <x:c r="D2" s="17"/>
      <x:c r="E2" s="17"/>
      <x:c r="F2" s="17"/>
      <x:c r="G2" s="17"/>
      <x:c r="H2" s="17"/>
      <x:c r="I2" s="17"/>
    </x:row>
    <x:row r="3" ht="28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28" customHeight="1">
      <x:c r="A4" s="17"/>
      <x:c r="B4" s="17"/>
      <x:c r="C4" s="17"/>
      <x:c r="D4" s="17"/>
      <x:c r="E4" s="17"/>
      <x:c r="F4" s="17"/>
      <x:c r="G4" s="17"/>
      <x:c r="H4" s="17"/>
      <x:c r="I4" s="17"/>
    </x:row>
    <x:row r="5" ht="28" customHeight="1">
      <x:c r="A5" s="17"/>
      <x:c r="B5" s="17"/>
      <x:c r="C5" s="17"/>
      <x:c r="D5" s="17"/>
      <x:c r="E5" s="17"/>
      <x:c r="F5" s="17"/>
      <x:c r="G5" s="17"/>
      <x:c r="H5" s="17"/>
      <x:c r="I5" s="17"/>
    </x:row>
    <x:row r="6" ht="28" customHeight="1">
      <x:c r="A6" s="17"/>
      <x:c r="B6" s="17"/>
      <x:c r="C6" s="17"/>
      <x:c r="D6" s="17"/>
      <x:c r="E6" s="17"/>
      <x:c r="F6" s="17"/>
      <x:c r="G6" s="17"/>
      <x:c r="H6" s="17"/>
      <x:c r="I6" s="17"/>
    </x:row>
    <x:row r="7" ht="28" customHeight="1">
      <x:c r="A7" s="17"/>
      <x:c r="B7" s="17"/>
      <x:c r="C7" s="17"/>
      <x:c r="D7" s="17"/>
      <x:c r="E7" s="17"/>
      <x:c r="F7" s="17"/>
      <x:c r="G7" s="17"/>
      <x:c r="H7" s="17"/>
      <x:c r="I7" s="17"/>
    </x:row>
    <x:row r="8" ht="28" customHeight="1">
      <x:c r="A8" s="17"/>
      <x:c r="B8" s="17"/>
      <x:c r="C8" s="17"/>
      <x:c r="D8" s="17"/>
      <x:c r="E8" s="17"/>
      <x:c r="F8" s="17"/>
      <x:c r="G8" s="17"/>
      <x:c r="H8" s="17"/>
      <x:c r="I8" s="17"/>
    </x:row>
    <x:row r="9" ht="28" customHeight="1">
      <x:c r="A9" s="17"/>
      <x:c r="B9" s="17"/>
      <x:c r="C9" s="17"/>
      <x:c r="D9" s="17"/>
      <x:c r="E9" s="17"/>
      <x:c r="F9" s="17"/>
      <x:c r="G9" s="17"/>
      <x:c r="H9" s="17"/>
      <x:c r="I9" s="17"/>
    </x:row>
    <x:row r="10" ht="28" customHeight="1">
      <x:c r="A10" s="17"/>
      <x:c r="B10" s="17"/>
      <x:c r="C10" s="17"/>
      <x:c r="D10" s="17"/>
      <x:c r="E10" s="17"/>
      <x:c r="F10" s="17"/>
      <x:c r="G10" s="17"/>
      <x:c r="H10" s="17"/>
      <x:c r="I10" s="17"/>
    </x:row>
    <x:row r="11" ht="28" customHeight="1">
      <x:c r="A11" s="17"/>
      <x:c r="B11" s="17"/>
      <x:c r="C11" s="17"/>
      <x:c r="D11" s="17"/>
      <x:c r="E11" s="17"/>
      <x:c r="F11" s="17"/>
      <x:c r="G11" s="17"/>
      <x:c r="H11" s="17"/>
      <x:c r="I11" s="17"/>
    </x:row>
    <x:row r="12" ht="28" customHeight="1">
      <x:c r="A12" s="17"/>
      <x:c r="B12" s="17"/>
      <x:c r="C12" s="17"/>
      <x:c r="D12" s="17"/>
      <x:c r="E12" s="17"/>
      <x:c r="F12" s="17"/>
      <x:c r="G12" s="17"/>
      <x:c r="H12" s="17"/>
      <x:c r="I12" s="17"/>
    </x:row>
    <x:row r="13" ht="28" customHeight="1">
      <x:c r="A13" s="17"/>
      <x:c r="B13" s="17"/>
      <x:c r="C13" s="17"/>
      <x:c r="D13" s="17"/>
      <x:c r="E13" s="17"/>
      <x:c r="F13" s="17"/>
      <x:c r="G13" s="17"/>
      <x:c r="H13" s="17"/>
      <x:c r="I13" s="17"/>
    </x:row>
    <x:row r="14" ht="28" customHeight="1">
      <x:c r="A14" s="17"/>
      <x:c r="B14" s="17"/>
      <x:c r="C14" s="17"/>
      <x:c r="D14" s="17"/>
      <x:c r="E14" s="17"/>
      <x:c r="F14" s="17"/>
      <x:c r="G14" s="17"/>
      <x:c r="H14" s="17"/>
      <x:c r="I14" s="17"/>
    </x:row>
    <x:row r="15" ht="28" customHeight="1">
      <x:c r="A15" s="17"/>
      <x:c r="B15" s="17"/>
      <x:c r="C15" s="17"/>
      <x:c r="D15" s="17"/>
      <x:c r="E15" s="17"/>
      <x:c r="F15" s="17"/>
      <x:c r="G15" s="17"/>
      <x:c r="H15" s="17"/>
      <x:c r="I15" s="17"/>
    </x:row>
    <x:row r="16" ht="28" customHeight="1">
      <x:c r="A16" s="17"/>
      <x:c r="B16" s="17"/>
      <x:c r="C16" s="17"/>
      <x:c r="D16" s="17"/>
      <x:c r="E16" s="17"/>
      <x:c r="F16" s="17"/>
      <x:c r="G16" s="17"/>
      <x:c r="H16" s="17"/>
      <x:c r="I16" s="17"/>
    </x:row>
    <x:row r="17" ht="28" customHeight="1">
      <x:c r="A17" s="17"/>
      <x:c r="B17" s="17"/>
      <x:c r="C17" s="17"/>
      <x:c r="D17" s="17"/>
      <x:c r="E17" s="17"/>
      <x:c r="F17" s="17"/>
      <x:c r="G17" s="17"/>
      <x:c r="H17" s="17"/>
      <x:c r="I17" s="17"/>
    </x:row>
    <x:row r="18" ht="28" customHeight="1">
      <x:c r="A18" s="17"/>
      <x:c r="B18" s="17"/>
      <x:c r="C18" s="17"/>
      <x:c r="D18" s="17"/>
      <x:c r="E18" s="17"/>
      <x:c r="F18" s="17"/>
      <x:c r="G18" s="17"/>
      <x:c r="H18" s="17"/>
      <x:c r="I18" s="17"/>
    </x:row>
    <x:row r="19" ht="28" customHeight="1">
      <x:c r="A19" s="17"/>
      <x:c r="B19" s="17"/>
      <x:c r="C19" s="17"/>
      <x:c r="D19" s="17"/>
      <x:c r="E19" s="17"/>
      <x:c r="F19" s="17"/>
      <x:c r="G19" s="17"/>
      <x:c r="H19" s="17"/>
      <x:c r="I19" s="17"/>
    </x:row>
    <x:row r="20" ht="28" customHeight="1">
      <x:c r="A20" s="17"/>
      <x:c r="B20" s="17"/>
      <x:c r="C20" s="17"/>
      <x:c r="D20" s="17"/>
      <x:c r="E20" s="17"/>
      <x:c r="F20" s="17"/>
      <x:c r="G20" s="17"/>
      <x:c r="H20" s="17"/>
      <x:c r="I20" s="17"/>
    </x:row>
    <x:row r="21" ht="28" customHeight="1">
      <x:c r="A21" s="17"/>
      <x:c r="B21" s="17"/>
      <x:c r="C21" s="17"/>
      <x:c r="D21" s="17"/>
      <x:c r="E21" s="17"/>
      <x:c r="F21" s="17"/>
      <x:c r="G21" s="17"/>
      <x:c r="H21" s="17"/>
      <x:c r="I21" s="17"/>
    </x:row>
    <x:row r="22" ht="28" customHeight="1">
      <x:c r="A22" s="17"/>
      <x:c r="B22" s="17"/>
      <x:c r="C22" s="17"/>
      <x:c r="D22" s="17"/>
      <x:c r="E22" s="17"/>
      <x:c r="F22" s="17"/>
      <x:c r="G22" s="17"/>
      <x:c r="H22" s="17"/>
      <x:c r="I22" s="17"/>
    </x:row>
    <x:row r="23" ht="28" customHeight="1">
      <x:c r="A23" s="17"/>
      <x:c r="B23" s="17"/>
      <x:c r="C23" s="17"/>
      <x:c r="D23" s="17"/>
      <x:c r="E23" s="17"/>
      <x:c r="F23" s="17"/>
      <x:c r="G23" s="17"/>
      <x:c r="H23" s="17"/>
      <x:c r="I23" s="17"/>
    </x:row>
    <x:row r="24" ht="28" customHeight="1">
      <x:c r="A24" s="17"/>
      <x:c r="B24" s="17"/>
      <x:c r="C24" s="17"/>
      <x:c r="D24" s="17"/>
      <x:c r="E24" s="17"/>
      <x:c r="F24" s="17"/>
      <x:c r="G24" s="17"/>
      <x:c r="H24" s="17"/>
      <x:c r="I24" s="17"/>
    </x:row>
    <x:row r="25" ht="28" customHeight="1">
      <x:c r="A25" s="17"/>
      <x:c r="B25" s="17"/>
      <x:c r="C25" s="17"/>
      <x:c r="D25" s="17"/>
      <x:c r="E25" s="17"/>
      <x:c r="F25" s="17"/>
      <x:c r="G25" s="17"/>
      <x:c r="H25" s="17"/>
      <x:c r="I25" s="17"/>
    </x:row>
    <x:row r="26" ht="28" customHeight="1">
      <x:c r="A26" s="17"/>
      <x:c r="B26" s="17"/>
      <x:c r="C26" s="17"/>
      <x:c r="D26" s="17"/>
      <x:c r="E26" s="17"/>
      <x:c r="F26" s="17"/>
      <x:c r="G26" s="17"/>
      <x:c r="H26" s="17"/>
      <x:c r="I26" s="17"/>
    </x:row>
    <x:row r="27" ht="28" customHeight="1">
      <x:c r="A27" s="17"/>
      <x:c r="B27" s="17"/>
      <x:c r="C27" s="17"/>
      <x:c r="D27" s="17"/>
      <x:c r="E27" s="17"/>
      <x:c r="F27" s="17"/>
      <x:c r="G27" s="17"/>
      <x:c r="H27" s="17"/>
      <x:c r="I27" s="17"/>
    </x:row>
    <x:row r="28" ht="28" customHeight="1">
      <x:c r="A28" s="17"/>
      <x:c r="B28" s="17"/>
      <x:c r="C28" s="17"/>
      <x:c r="D28" s="17"/>
      <x:c r="E28" s="17"/>
      <x:c r="F28" s="17"/>
      <x:c r="G28" s="17"/>
      <x:c r="H28" s="17"/>
      <x:c r="I28" s="17"/>
    </x:row>
    <x:row r="29" ht="28" customHeight="1">
      <x:c r="A29" s="17"/>
      <x:c r="B29" s="17"/>
      <x:c r="C29" s="17"/>
      <x:c r="D29" s="17"/>
      <x:c r="E29" s="17"/>
      <x:c r="F29" s="17"/>
      <x:c r="G29" s="17"/>
      <x:c r="H29" s="17"/>
      <x:c r="I29" s="17"/>
    </x:row>
    <x:row r="30" ht="28" customHeight="1">
      <x:c r="A30" s="17"/>
      <x:c r="B30" s="17"/>
      <x:c r="C30" s="17"/>
      <x:c r="D30" s="17"/>
      <x:c r="E30" s="17"/>
      <x:c r="F30" s="17"/>
      <x:c r="G30" s="17"/>
      <x:c r="H30" s="17"/>
      <x:c r="I30" s="17"/>
    </x:row>
    <x:row r="31" ht="28" customHeight="1">
      <x:c r="A31" s="17"/>
      <x:c r="B31" s="17"/>
      <x:c r="C31" s="17"/>
      <x:c r="D31" s="17"/>
      <x:c r="E31" s="17"/>
      <x:c r="F31" s="17"/>
      <x:c r="G31" s="17"/>
      <x:c r="H31" s="17"/>
      <x:c r="I31" s="17"/>
    </x:row>
    <x:row r="32" ht="28" customHeight="1">
      <x:c r="A32" s="17"/>
      <x:c r="B32" s="17"/>
      <x:c r="C32" s="17"/>
      <x:c r="D32" s="17"/>
      <x:c r="E32" s="17"/>
      <x:c r="F32" s="17"/>
      <x:c r="G32" s="17"/>
      <x:c r="H32" s="17"/>
      <x:c r="I32" s="17"/>
    </x:row>
    <x:row r="33" ht="28" customHeight="1">
      <x:c r="A33" s="17"/>
      <x:c r="B33" s="17"/>
      <x:c r="C33" s="17"/>
      <x:c r="D33" s="17"/>
      <x:c r="E33" s="17"/>
      <x:c r="F33" s="17"/>
      <x:c r="G33" s="17"/>
      <x:c r="H33" s="17"/>
      <x:c r="I33" s="17"/>
    </x:row>
    <x:row r="34" ht="28" customHeight="1">
      <x:c r="A34" s="17"/>
      <x:c r="B34" s="17"/>
      <x:c r="C34" s="17"/>
      <x:c r="D34" s="17"/>
      <x:c r="E34" s="17"/>
      <x:c r="F34" s="17"/>
      <x:c r="G34" s="17"/>
      <x:c r="H34" s="17"/>
      <x:c r="I34" s="17"/>
    </x:row>
    <x:row r="35" ht="28" customHeight="1">
      <x:c r="A35" s="17"/>
      <x:c r="B35" s="17"/>
      <x:c r="C35" s="17"/>
      <x:c r="D35" s="17"/>
      <x:c r="E35" s="17"/>
      <x:c r="F35" s="17"/>
      <x:c r="G35" s="17"/>
      <x:c r="H35" s="17"/>
      <x:c r="I35" s="17"/>
    </x:row>
    <x:row r="36" ht="28" customHeight="1">
      <x:c r="A36" s="17"/>
      <x:c r="B36" s="17"/>
      <x:c r="C36" s="17"/>
      <x:c r="D36" s="17"/>
      <x:c r="E36" s="17"/>
      <x:c r="F36" s="17"/>
      <x:c r="G36" s="17"/>
      <x:c r="H36" s="17"/>
      <x:c r="I36" s="17"/>
    </x:row>
    <x:row r="37" ht="28" customHeight="1">
      <x:c r="A37" s="17"/>
      <x:c r="B37" s="17"/>
      <x:c r="C37" s="17"/>
      <x:c r="D37" s="17"/>
      <x:c r="E37" s="17"/>
      <x:c r="F37" s="17"/>
      <x:c r="G37" s="17"/>
      <x:c r="H37" s="17"/>
      <x:c r="I37" s="17"/>
    </x:row>
    <x:row r="38" ht="28" customHeight="1">
      <x:c r="A38" s="17"/>
      <x:c r="B38" s="17"/>
      <x:c r="C38" s="17"/>
      <x:c r="D38" s="17"/>
      <x:c r="E38" s="17"/>
      <x:c r="F38" s="17"/>
      <x:c r="G38" s="17"/>
      <x:c r="H38" s="17"/>
      <x:c r="I38" s="17"/>
    </x:row>
    <x:row r="39" ht="28" customHeight="1">
      <x:c r="A39" s="17"/>
      <x:c r="B39" s="17"/>
      <x:c r="C39" s="17"/>
      <x:c r="D39" s="17"/>
      <x:c r="E39" s="17"/>
      <x:c r="F39" s="17"/>
      <x:c r="G39" s="17"/>
      <x:c r="H39" s="17"/>
      <x:c r="I39" s="17"/>
    </x:row>
    <x:row r="40" ht="28" customHeight="1">
      <x:c r="A40" s="17"/>
      <x:c r="B40" s="17"/>
      <x:c r="C40" s="17"/>
      <x:c r="D40" s="17"/>
      <x:c r="E40" s="17"/>
      <x:c r="F40" s="17"/>
      <x:c r="G40" s="17"/>
      <x:c r="H40" s="17"/>
      <x:c r="I40" s="17"/>
    </x:row>
    <x:row r="41" ht="28" customHeight="1">
      <x:c r="A41" s="17"/>
      <x:c r="B41" s="17"/>
      <x:c r="C41" s="17"/>
      <x:c r="D41" s="17"/>
      <x:c r="E41" s="17"/>
      <x:c r="F41" s="17"/>
      <x:c r="G41" s="17"/>
      <x:c r="H41" s="17"/>
      <x:c r="I41" s="17"/>
    </x:row>
    <x:row r="42" ht="28" customHeight="1">
      <x:c r="A42" s="17"/>
      <x:c r="B42" s="17"/>
      <x:c r="C42" s="17"/>
      <x:c r="D42" s="17"/>
      <x:c r="E42" s="17"/>
      <x:c r="F42" s="17"/>
      <x:c r="G42" s="17"/>
      <x:c r="H42" s="17"/>
      <x:c r="I42" s="17"/>
    </x:row>
    <x:row r="43" ht="28" customHeight="1">
      <x:c r="A43" s="17"/>
      <x:c r="B43" s="17"/>
      <x:c r="C43" s="17"/>
      <x:c r="D43" s="17"/>
      <x:c r="E43" s="17"/>
      <x:c r="F43" s="17"/>
      <x:c r="G43" s="17"/>
      <x:c r="H43" s="17"/>
      <x:c r="I43" s="17"/>
    </x:row>
    <x:row r="44" ht="28" customHeight="1">
      <x:c r="A44" s="17"/>
      <x:c r="B44" s="17"/>
      <x:c r="C44" s="17"/>
      <x:c r="D44" s="17"/>
      <x:c r="E44" s="17"/>
      <x:c r="F44" s="17"/>
      <x:c r="G44" s="17"/>
      <x:c r="H44" s="17"/>
      <x:c r="I44" s="17"/>
    </x:row>
    <x:row r="45" ht="28" customHeight="1">
      <x:c r="A45" s="17"/>
      <x:c r="B45" s="17"/>
      <x:c r="C45" s="17"/>
      <x:c r="D45" s="17"/>
      <x:c r="E45" s="17"/>
      <x:c r="F45" s="17"/>
      <x:c r="G45" s="17"/>
      <x:c r="H45" s="17"/>
      <x:c r="I45" s="17"/>
    </x:row>
    <x:row r="46" ht="28" customHeight="1">
      <x:c r="A46" s="17"/>
      <x:c r="B46" s="17"/>
      <x:c r="C46" s="17"/>
      <x:c r="D46" s="17"/>
      <x:c r="E46" s="17"/>
      <x:c r="F46" s="17"/>
      <x:c r="G46" s="17"/>
      <x:c r="H46" s="17"/>
      <x:c r="I46" s="17"/>
    </x:row>
    <x:row r="47" ht="28" customHeight="1">
      <x:c r="A47" s="17"/>
      <x:c r="B47" s="17"/>
      <x:c r="C47" s="17"/>
      <x:c r="D47" s="17"/>
      <x:c r="E47" s="17"/>
      <x:c r="F47" s="17"/>
      <x:c r="G47" s="17"/>
      <x:c r="H47" s="17"/>
      <x:c r="I47" s="17"/>
    </x:row>
    <x:row r="48" ht="28" customHeight="1">
      <x:c r="A48" s="17"/>
      <x:c r="B48" s="17"/>
      <x:c r="C48" s="17"/>
      <x:c r="D48" s="17"/>
      <x:c r="E48" s="17"/>
      <x:c r="F48" s="17"/>
      <x:c r="G48" s="17"/>
      <x:c r="H48" s="17"/>
      <x:c r="I48" s="17"/>
    </x:row>
    <x:row r="49" ht="28" customHeight="1">
      <x:c r="A49" s="17"/>
      <x:c r="B49" s="17"/>
      <x:c r="C49" s="17"/>
      <x:c r="D49" s="17"/>
      <x:c r="E49" s="17"/>
      <x:c r="F49" s="17"/>
      <x:c r="G49" s="17"/>
      <x:c r="H49" s="17"/>
      <x:c r="I49" s="17"/>
    </x:row>
    <x:row r="50" ht="28" customHeight="1">
      <x:c r="A50" s="17"/>
      <x:c r="B50" s="17"/>
      <x:c r="C50" s="17"/>
      <x:c r="D50" s="17"/>
      <x:c r="E50" s="17"/>
      <x:c r="F50" s="17"/>
      <x:c r="G50" s="17"/>
      <x:c r="H50" s="17"/>
      <x:c r="I50" s="17"/>
    </x:row>
    <x:row r="51" ht="28" customHeight="1">
      <x:c r="A51" s="17"/>
      <x:c r="B51" s="17"/>
      <x:c r="C51" s="17"/>
      <x:c r="D51" s="17"/>
      <x:c r="E51" s="17"/>
      <x:c r="F51" s="17"/>
      <x:c r="G51" s="17"/>
      <x:c r="H51" s="17"/>
      <x:c r="I51" s="17"/>
    </x:row>
    <x:row r="52" ht="28" customHeight="1">
      <x:c r="A52" s="17"/>
      <x:c r="B52" s="17"/>
      <x:c r="C52" s="17"/>
      <x:c r="D52" s="17"/>
      <x:c r="E52" s="17"/>
      <x:c r="F52" s="17"/>
      <x:c r="G52" s="17"/>
      <x:c r="H52" s="17"/>
      <x:c r="I52" s="17"/>
    </x:row>
    <x:row r="53" ht="28" customHeight="1">
      <x:c r="A53" s="17"/>
      <x:c r="B53" s="17"/>
      <x:c r="C53" s="17"/>
      <x:c r="D53" s="17"/>
      <x:c r="E53" s="17"/>
      <x:c r="F53" s="17"/>
      <x:c r="G53" s="17"/>
      <x:c r="H53" s="17"/>
      <x:c r="I53" s="17"/>
    </x:row>
    <x:row r="54" ht="28" customHeight="1">
      <x:c r="A54" s="17"/>
      <x:c r="B54" s="17"/>
      <x:c r="C54" s="17"/>
      <x:c r="D54" s="17"/>
      <x:c r="E54" s="17"/>
      <x:c r="F54" s="17"/>
      <x:c r="G54" s="17"/>
      <x:c r="H54" s="17"/>
      <x:c r="I54" s="17"/>
    </x:row>
    <x:row r="55" ht="28" customHeight="1">
      <x:c r="A55" s="17"/>
      <x:c r="B55" s="17"/>
      <x:c r="C55" s="17"/>
      <x:c r="D55" s="17"/>
      <x:c r="E55" s="17"/>
      <x:c r="F55" s="17"/>
      <x:c r="G55" s="17"/>
      <x:c r="H55" s="17"/>
      <x:c r="I55" s="17"/>
    </x:row>
    <x:row r="56" ht="28" customHeight="1">
      <x:c r="A56" s="17"/>
      <x:c r="B56" s="17"/>
      <x:c r="C56" s="17"/>
      <x:c r="D56" s="17"/>
      <x:c r="E56" s="17"/>
      <x:c r="F56" s="17"/>
      <x:c r="G56" s="17"/>
      <x:c r="H56" s="17"/>
      <x:c r="I56" s="17"/>
    </x:row>
    <x:row r="57" ht="28" customHeight="1">
      <x:c r="A57" s="17"/>
      <x:c r="B57" s="17"/>
      <x:c r="C57" s="17"/>
      <x:c r="D57" s="17"/>
      <x:c r="E57" s="17"/>
      <x:c r="F57" s="17"/>
      <x:c r="G57" s="17"/>
      <x:c r="H57" s="17"/>
      <x:c r="I57" s="17"/>
    </x:row>
    <x:row r="58" ht="28" customHeight="1">
      <x:c r="A58" s="17"/>
      <x:c r="B58" s="17"/>
      <x:c r="C58" s="17"/>
      <x:c r="D58" s="17"/>
      <x:c r="E58" s="17"/>
      <x:c r="F58" s="17"/>
      <x:c r="G58" s="17"/>
      <x:c r="H58" s="17"/>
      <x:c r="I58" s="17"/>
    </x:row>
    <x:row r="59" ht="28" customHeight="1">
      <x:c r="A59" s="17"/>
      <x:c r="B59" s="17"/>
      <x:c r="C59" s="17"/>
      <x:c r="D59" s="17"/>
      <x:c r="E59" s="17"/>
      <x:c r="F59" s="17"/>
      <x:c r="G59" s="17"/>
      <x:c r="H59" s="17"/>
      <x:c r="I59" s="17"/>
    </x:row>
    <x:row r="60" ht="28" customHeight="1">
      <x:c r="A60" s="17"/>
      <x:c r="B60" s="17"/>
      <x:c r="C60" s="17"/>
      <x:c r="D60" s="17"/>
      <x:c r="E60" s="17"/>
      <x:c r="F60" s="17"/>
      <x:c r="G60" s="17"/>
      <x:c r="H60" s="17"/>
      <x:c r="I60" s="17"/>
    </x:row>
    <x:row r="61" ht="28" customHeight="1">
      <x:c r="A61" s="17"/>
      <x:c r="B61" s="17"/>
      <x:c r="C61" s="17"/>
      <x:c r="D61" s="17"/>
      <x:c r="E61" s="17"/>
      <x:c r="F61" s="17"/>
      <x:c r="G61" s="17"/>
      <x:c r="H61" s="17"/>
      <x:c r="I61" s="17"/>
    </x:row>
    <x:row r="62" ht="28" customHeight="1">
      <x:c r="A62" s="17"/>
      <x:c r="B62" s="17"/>
      <x:c r="C62" s="17"/>
      <x:c r="D62" s="17"/>
      <x:c r="E62" s="17"/>
      <x:c r="F62" s="17"/>
      <x:c r="G62" s="17"/>
      <x:c r="H62" s="17"/>
      <x:c r="I62" s="17"/>
    </x:row>
    <x:row r="63" ht="28" customHeight="1">
      <x:c r="A63" s="17"/>
      <x:c r="B63" s="17"/>
      <x:c r="C63" s="17"/>
      <x:c r="D63" s="17"/>
      <x:c r="E63" s="17"/>
      <x:c r="F63" s="17"/>
      <x:c r="G63" s="17"/>
      <x:c r="H63" s="17"/>
      <x:c r="I63" s="17"/>
    </x:row>
    <x:row r="64" ht="28" customHeight="1">
      <x:c r="A64" s="17"/>
      <x:c r="B64" s="17"/>
      <x:c r="C64" s="17"/>
      <x:c r="D64" s="17"/>
      <x:c r="E64" s="17"/>
      <x:c r="F64" s="17"/>
      <x:c r="G64" s="17"/>
      <x:c r="H64" s="17"/>
      <x:c r="I64" s="17"/>
    </x:row>
    <x:row r="65" ht="28" customHeight="1">
      <x:c r="A65" s="17"/>
      <x:c r="B65" s="17"/>
      <x:c r="C65" s="17"/>
      <x:c r="D65" s="17"/>
      <x:c r="E65" s="17"/>
      <x:c r="F65" s="17"/>
      <x:c r="G65" s="17"/>
      <x:c r="H65" s="17"/>
      <x:c r="I65" s="17"/>
    </x:row>
    <x:row r="66" ht="28" customHeight="1">
      <x:c r="A66" s="17"/>
      <x:c r="B66" s="17"/>
      <x:c r="C66" s="17"/>
      <x:c r="D66" s="17"/>
      <x:c r="E66" s="17"/>
      <x:c r="F66" s="17"/>
      <x:c r="G66" s="17"/>
      <x:c r="H66" s="17"/>
      <x:c r="I66" s="17"/>
    </x:row>
    <x:row r="67" ht="28" customHeight="1">
      <x:c r="A67" s="17"/>
      <x:c r="B67" s="17"/>
      <x:c r="C67" s="17"/>
      <x:c r="D67" s="17"/>
      <x:c r="E67" s="17"/>
      <x:c r="F67" s="17"/>
      <x:c r="G67" s="17"/>
      <x:c r="H67" s="17"/>
      <x:c r="I67" s="17"/>
    </x:row>
    <x:row r="68" ht="28" customHeight="1">
      <x:c r="A68" s="17"/>
      <x:c r="B68" s="17"/>
      <x:c r="C68" s="17"/>
      <x:c r="D68" s="17"/>
      <x:c r="E68" s="17"/>
      <x:c r="F68" s="17"/>
      <x:c r="G68" s="17"/>
      <x:c r="H68" s="17"/>
      <x:c r="I68" s="17"/>
    </x:row>
    <x:row r="69" ht="28" customHeight="1">
      <x:c r="A69" s="17"/>
      <x:c r="B69" s="17"/>
      <x:c r="C69" s="17"/>
      <x:c r="D69" s="17"/>
      <x:c r="E69" s="17"/>
      <x:c r="F69" s="17"/>
      <x:c r="G69" s="17"/>
      <x:c r="H69" s="17"/>
      <x:c r="I69" s="17"/>
    </x:row>
    <x:row r="70" ht="28" customHeight="1">
      <x:c r="A70" s="17"/>
      <x:c r="B70" s="17"/>
      <x:c r="C70" s="17"/>
      <x:c r="D70" s="17"/>
      <x:c r="E70" s="17"/>
      <x:c r="F70" s="17"/>
      <x:c r="G70" s="17"/>
      <x:c r="H70" s="17"/>
      <x:c r="I70" s="17"/>
    </x:row>
    <x:row r="71" ht="28" customHeight="1">
      <x:c r="A71" s="17"/>
      <x:c r="B71" s="17"/>
      <x:c r="C71" s="17"/>
      <x:c r="D71" s="17"/>
      <x:c r="E71" s="17"/>
      <x:c r="F71" s="17"/>
      <x:c r="G71" s="17"/>
      <x:c r="H71" s="17"/>
      <x:c r="I71" s="17"/>
    </x:row>
    <x:row r="72" ht="28" customHeight="1">
      <x:c r="A72" s="17"/>
      <x:c r="B72" s="17"/>
      <x:c r="C72" s="17"/>
      <x:c r="D72" s="17"/>
      <x:c r="E72" s="17"/>
      <x:c r="F72" s="17"/>
      <x:c r="G72" s="17"/>
      <x:c r="H72" s="17"/>
      <x:c r="I72" s="17"/>
    </x:row>
    <x:row r="73" ht="28" customHeight="1">
      <x:c r="A73" s="17"/>
      <x:c r="B73" s="17"/>
      <x:c r="C73" s="17"/>
      <x:c r="D73" s="17"/>
      <x:c r="E73" s="17"/>
      <x:c r="F73" s="17"/>
      <x:c r="G73" s="17"/>
      <x:c r="H73" s="17"/>
      <x:c r="I73" s="17"/>
    </x:row>
    <x:row r="74" ht="28" customHeight="1">
      <x:c r="A74" s="17"/>
      <x:c r="B74" s="17"/>
      <x:c r="C74" s="17"/>
      <x:c r="D74" s="17"/>
      <x:c r="E74" s="17"/>
      <x:c r="F74" s="17"/>
      <x:c r="G74" s="17"/>
      <x:c r="H74" s="17"/>
      <x:c r="I74" s="17"/>
    </x:row>
    <x:row r="75" ht="28" customHeight="1">
      <x:c r="A75" s="17"/>
      <x:c r="B75" s="17"/>
      <x:c r="C75" s="17"/>
      <x:c r="D75" s="17"/>
      <x:c r="E75" s="17"/>
      <x:c r="F75" s="17"/>
      <x:c r="G75" s="17"/>
      <x:c r="H75" s="17"/>
      <x:c r="I75" s="17"/>
    </x:row>
    <x:row r="76" ht="28" customHeight="1">
      <x:c r="A76" s="17"/>
      <x:c r="B76" s="17"/>
      <x:c r="C76" s="17"/>
      <x:c r="D76" s="17"/>
      <x:c r="E76" s="17"/>
      <x:c r="F76" s="17"/>
      <x:c r="G76" s="17"/>
      <x:c r="H76" s="17"/>
      <x:c r="I76" s="17"/>
    </x:row>
    <x:row r="77" ht="28" customHeight="1">
      <x:c r="A77" s="17"/>
      <x:c r="B77" s="17"/>
      <x:c r="C77" s="17"/>
      <x:c r="D77" s="17"/>
      <x:c r="E77" s="17"/>
      <x:c r="F77" s="17"/>
      <x:c r="G77" s="17"/>
      <x:c r="H77" s="17"/>
      <x:c r="I77" s="17"/>
    </x:row>
    <x:row r="78" ht="28" customHeight="1">
      <x:c r="A78" s="17"/>
      <x:c r="B78" s="17"/>
      <x:c r="C78" s="17"/>
      <x:c r="D78" s="17"/>
      <x:c r="E78" s="17"/>
      <x:c r="F78" s="17"/>
      <x:c r="G78" s="17"/>
      <x:c r="H78" s="17"/>
      <x:c r="I78" s="17"/>
    </x:row>
    <x:row r="79" ht="28" customHeight="1">
      <x:c r="A79" s="17"/>
      <x:c r="B79" s="17"/>
      <x:c r="C79" s="17"/>
      <x:c r="D79" s="17"/>
      <x:c r="E79" s="17"/>
      <x:c r="F79" s="17"/>
      <x:c r="G79" s="17"/>
      <x:c r="H79" s="17"/>
      <x:c r="I79" s="17"/>
    </x:row>
    <x:row r="80" ht="28" customHeight="1">
      <x:c r="A80" s="17"/>
      <x:c r="B80" s="17"/>
      <x:c r="C80" s="17"/>
      <x:c r="D80" s="17"/>
      <x:c r="E80" s="17"/>
      <x:c r="F80" s="17"/>
      <x:c r="G80" s="17"/>
      <x:c r="H80" s="17"/>
      <x:c r="I80" s="17"/>
    </x:row>
    <x:row r="81" ht="28" customHeight="1">
      <x:c r="A81" s="17"/>
      <x:c r="B81" s="17"/>
      <x:c r="C81" s="17"/>
      <x:c r="D81" s="17"/>
      <x:c r="E81" s="17"/>
      <x:c r="F81" s="17"/>
      <x:c r="G81" s="17"/>
      <x:c r="H81" s="17"/>
      <x:c r="I81" s="17"/>
    </x:row>
    <x:row r="82" ht="28" customHeight="1">
      <x:c r="A82" s="17"/>
      <x:c r="B82" s="17"/>
      <x:c r="C82" s="17"/>
      <x:c r="D82" s="17"/>
      <x:c r="E82" s="17"/>
      <x:c r="F82" s="17"/>
      <x:c r="G82" s="17"/>
      <x:c r="H82" s="17"/>
      <x:c r="I82" s="17"/>
    </x:row>
    <x:row r="83" ht="28" customHeight="1">
      <x:c r="A83" s="17"/>
      <x:c r="B83" s="17"/>
      <x:c r="C83" s="17"/>
      <x:c r="D83" s="17"/>
      <x:c r="E83" s="17"/>
      <x:c r="F83" s="17"/>
      <x:c r="G83" s="17"/>
      <x:c r="H83" s="17"/>
      <x:c r="I83" s="17"/>
    </x:row>
    <x:row r="84" ht="28" customHeight="1">
      <x:c r="A84" s="17"/>
      <x:c r="B84" s="17"/>
      <x:c r="C84" s="17"/>
      <x:c r="D84" s="17"/>
      <x:c r="E84" s="17"/>
      <x:c r="F84" s="17"/>
      <x:c r="G84" s="17"/>
      <x:c r="H84" s="17"/>
      <x:c r="I84" s="17"/>
    </x:row>
    <x:row r="85" ht="28" customHeight="1">
      <x:c r="A85" s="17"/>
      <x:c r="B85" s="17"/>
      <x:c r="C85" s="17"/>
      <x:c r="D85" s="17"/>
      <x:c r="E85" s="17"/>
      <x:c r="F85" s="17"/>
      <x:c r="G85" s="17"/>
      <x:c r="H85" s="17"/>
      <x:c r="I85" s="17"/>
    </x:row>
    <x:row r="86" ht="28" customHeight="1">
      <x:c r="A86" s="17"/>
      <x:c r="B86" s="17"/>
      <x:c r="C86" s="17"/>
      <x:c r="D86" s="17"/>
      <x:c r="E86" s="17"/>
      <x:c r="F86" s="17"/>
      <x:c r="G86" s="17"/>
      <x:c r="H86" s="17"/>
      <x:c r="I86" s="17"/>
    </x:row>
    <x:row r="87" ht="28" customHeight="1">
      <x:c r="A87" s="17"/>
      <x:c r="B87" s="17"/>
      <x:c r="C87" s="17"/>
      <x:c r="D87" s="17"/>
      <x:c r="E87" s="17"/>
      <x:c r="F87" s="17"/>
      <x:c r="G87" s="17"/>
      <x:c r="H87" s="17"/>
      <x:c r="I87" s="17"/>
    </x:row>
    <x:row r="88" ht="28" customHeight="1">
      <x:c r="A88" s="17"/>
      <x:c r="B88" s="17"/>
      <x:c r="C88" s="17"/>
      <x:c r="D88" s="17"/>
      <x:c r="E88" s="17"/>
      <x:c r="F88" s="17"/>
      <x:c r="G88" s="17"/>
      <x:c r="H88" s="17"/>
      <x:c r="I88" s="17"/>
    </x:row>
    <x:row r="89" ht="28" customHeight="1">
      <x:c r="A89" s="17"/>
      <x:c r="B89" s="17"/>
      <x:c r="C89" s="17"/>
      <x:c r="D89" s="17"/>
      <x:c r="E89" s="17"/>
      <x:c r="F89" s="17"/>
      <x:c r="G89" s="17"/>
      <x:c r="H89" s="17"/>
      <x:c r="I89" s="17"/>
    </x:row>
    <x:row r="90" ht="28" customHeight="1">
      <x:c r="A90" s="17"/>
      <x:c r="B90" s="17"/>
      <x:c r="C90" s="17"/>
      <x:c r="D90" s="17"/>
      <x:c r="E90" s="17"/>
      <x:c r="F90" s="17"/>
      <x:c r="G90" s="17"/>
      <x:c r="H90" s="17"/>
      <x:c r="I90" s="17"/>
    </x:row>
    <x:row r="91" ht="28" customHeight="1">
      <x:c r="A91" s="17"/>
      <x:c r="B91" s="17"/>
      <x:c r="C91" s="17"/>
      <x:c r="D91" s="17"/>
      <x:c r="E91" s="17"/>
      <x:c r="F91" s="17"/>
      <x:c r="G91" s="17"/>
      <x:c r="H91" s="17"/>
      <x:c r="I91" s="17"/>
    </x:row>
    <x:row r="92" ht="28" customHeight="1">
      <x:c r="A92" s="17"/>
      <x:c r="B92" s="17"/>
      <x:c r="C92" s="17"/>
      <x:c r="D92" s="17"/>
      <x:c r="E92" s="17"/>
      <x:c r="F92" s="17"/>
      <x:c r="G92" s="17"/>
      <x:c r="H92" s="17"/>
      <x:c r="I92" s="17"/>
    </x:row>
    <x:row r="93" ht="28" customHeight="1">
      <x:c r="A93" s="17"/>
      <x:c r="B93" s="17"/>
      <x:c r="C93" s="17"/>
      <x:c r="D93" s="17"/>
      <x:c r="E93" s="17"/>
      <x:c r="F93" s="17"/>
      <x:c r="G93" s="17"/>
      <x:c r="H93" s="17"/>
      <x:c r="I93" s="17"/>
    </x:row>
    <x:row r="94" ht="28" customHeight="1">
      <x:c r="A94" s="17"/>
      <x:c r="B94" s="17"/>
      <x:c r="C94" s="17"/>
      <x:c r="D94" s="17"/>
      <x:c r="E94" s="17"/>
      <x:c r="F94" s="17"/>
      <x:c r="G94" s="17"/>
      <x:c r="H94" s="17"/>
      <x:c r="I94" s="17"/>
    </x:row>
    <x:row r="95" ht="28" customHeight="1">
      <x:c r="A95" s="17"/>
      <x:c r="B95" s="17"/>
      <x:c r="C95" s="17"/>
      <x:c r="D95" s="17"/>
      <x:c r="E95" s="17"/>
      <x:c r="F95" s="17"/>
      <x:c r="G95" s="17"/>
      <x:c r="H95" s="17"/>
      <x:c r="I95" s="17"/>
    </x:row>
    <x:row r="96" ht="28" customHeight="1">
      <x:c r="A96" s="17"/>
      <x:c r="B96" s="17"/>
      <x:c r="C96" s="17"/>
      <x:c r="D96" s="17"/>
      <x:c r="E96" s="17"/>
      <x:c r="F96" s="17"/>
      <x:c r="G96" s="17"/>
      <x:c r="H96" s="17"/>
      <x:c r="I96" s="17"/>
    </x:row>
    <x:row r="97" ht="28" customHeight="1">
      <x:c r="A97" s="17"/>
      <x:c r="B97" s="17"/>
      <x:c r="C97" s="17"/>
      <x:c r="D97" s="17"/>
      <x:c r="E97" s="17"/>
      <x:c r="F97" s="17"/>
      <x:c r="G97" s="17"/>
      <x:c r="H97" s="17"/>
      <x:c r="I97" s="17"/>
    </x:row>
    <x:row r="98" ht="28" customHeight="1">
      <x:c r="A98" s="17"/>
      <x:c r="B98" s="17"/>
      <x:c r="C98" s="17"/>
      <x:c r="D98" s="17"/>
      <x:c r="E98" s="17"/>
      <x:c r="F98" s="17"/>
      <x:c r="G98" s="17"/>
      <x:c r="H98" s="17"/>
      <x:c r="I98" s="17"/>
    </x:row>
    <x:row r="99" ht="28" customHeight="1">
      <x:c r="A99" s="17"/>
      <x:c r="B99" s="17"/>
      <x:c r="C99" s="17"/>
      <x:c r="D99" s="17"/>
      <x:c r="E99" s="17"/>
      <x:c r="F99" s="17"/>
      <x:c r="G99" s="17"/>
      <x:c r="H99" s="17"/>
      <x:c r="I99" s="17"/>
    </x:row>
    <x:row r="100" ht="28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</x:row>
    <x:row r="101" ht="28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</x:row>
    <x:row r="102" ht="28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</x:row>
    <x:row r="103" ht="28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</x:row>
    <x:row r="104" ht="28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</x:row>
    <x:row r="105" ht="28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</x:row>
    <x:row r="106" ht="28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</x:row>
    <x:row r="107" ht="28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</x:row>
    <x:row r="108" ht="28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</x:row>
    <x:row r="109" ht="28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</x:row>
    <x:row r="110" ht="28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</x:row>
    <x:row r="111" ht="28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</x:row>
    <x:row r="112" ht="28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</x:row>
    <x:row r="113" ht="28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</x:row>
    <x:row r="114" ht="28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</x:row>
    <x:row r="115" ht="28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</x:row>
    <x:row r="116" ht="28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</x:row>
    <x:row r="117" ht="28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</x:row>
    <x:row r="118" ht="28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</x:row>
    <x:row r="119" ht="28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</x:row>
    <x:row r="120" ht="28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</x:row>
    <x:row r="121" ht="28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</x:row>
    <x:row r="122" ht="28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</x:row>
    <x:row r="123" ht="28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</x:row>
    <x:row r="124" ht="28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</x:row>
    <x:row r="125" ht="28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</x:row>
    <x:row r="126" ht="28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</x:row>
    <x:row r="127" ht="28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</x:row>
    <x:row r="128" ht="28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</x:row>
    <x:row r="129" ht="28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</x:row>
    <x:row r="130" ht="28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</x:row>
    <x:row r="131" ht="28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</x:row>
    <x:row r="132" ht="28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</x:row>
    <x:row r="133" ht="28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</x:row>
    <x:row r="134" ht="28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</x:row>
    <x:row r="135" ht="28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</x:row>
    <x:row r="136" ht="28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</x:row>
    <x:row r="137" ht="28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</x:row>
    <x:row r="138" ht="28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</x:row>
    <x:row r="139" ht="28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</x:row>
    <x:row r="140" ht="28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</x:row>
    <x:row r="141" ht="28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</x:row>
    <x:row r="142" ht="28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</x:row>
    <x:row r="143" ht="28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</x:row>
    <x:row r="144" ht="28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</x:row>
    <x:row r="145" ht="28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</x:row>
    <x:row r="146" ht="28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</x:row>
    <x:row r="147" ht="28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</x:row>
    <x:row r="148" ht="28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</x:row>
    <x:row r="149" ht="28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</x:row>
    <x:row r="150" ht="28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</x:row>
    <x:row r="151" ht="28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</x:row>
    <x:row r="152" ht="28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</x:row>
    <x:row r="153" ht="28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</x:row>
    <x:row r="154" ht="28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</x:row>
    <x:row r="155" ht="28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</x:row>
    <x:row r="156" ht="28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</x:row>
    <x:row r="157" ht="28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</x:row>
    <x:row r="158" ht="28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</x:row>
    <x:row r="159" ht="28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</x:row>
    <x:row r="160" ht="28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</x:row>
    <x:row r="161" ht="28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</x:row>
    <x:row r="162" ht="28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</x:row>
    <x:row r="163" ht="28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</x:row>
    <x:row r="164" ht="28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</x:row>
    <x:row r="165" ht="28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</x:row>
    <x:row r="166" ht="28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</x:row>
    <x:row r="167" ht="28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</x:row>
    <x:row r="168" ht="28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</x:row>
    <x:row r="169" ht="28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</x:row>
    <x:row r="170" ht="28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</x:row>
    <x:row r="171" ht="28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</x:row>
    <x:row r="172" ht="28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</x:row>
    <x:row r="173" ht="28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</x:row>
    <x:row r="174" ht="28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</x:row>
    <x:row r="175" ht="28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</x:row>
    <x:row r="176" ht="28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</x:row>
    <x:row r="177" ht="28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</x:row>
    <x:row r="178" ht="28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</x:row>
    <x:row r="179" ht="28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</x:row>
    <x:row r="180" ht="28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</x:row>
    <x:row r="181" ht="28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</x:row>
    <x:row r="182" ht="28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</x:row>
    <x:row r="183" ht="28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</x:row>
    <x:row r="184" ht="28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</x:row>
    <x:row r="185" ht="28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</x:row>
    <x:row r="186" ht="28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</x:row>
    <x:row r="187" ht="28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</x:row>
    <x:row r="188" ht="28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</x:row>
    <x:row r="189" ht="28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</x:row>
    <x:row r="190" ht="28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</x:row>
    <x:row r="191" ht="28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</x:row>
    <x:row r="192" ht="28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</x:row>
    <x:row r="193" ht="28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</x:row>
    <x:row r="194" ht="28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</x:row>
    <x:row r="195" ht="28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</x:row>
    <x:row r="196" ht="28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</x:row>
    <x:row r="197" ht="28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</x:row>
    <x:row r="198" ht="28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</x:row>
    <x:row r="199" ht="28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</x:row>
    <x:row r="200" ht="28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</x:row>
    <x:row r="201" ht="28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</x:row>
  </x:sheetData>
  <x:dataValidations count="5">
    <x:dataValidation type="whole" operator="between" sqref="B2:B501">
      <x:formula1>1</x:formula1>
      <x:formula2>5</x:formula2>
    </x:dataValidation>
    <x:dataValidation type="list" sqref="C2:C501">
      <x:formula1>"AUTHZ,FLOW,ROLE,AUTHN,DATA,PAY,EXT,REPO,DEPLOY,VERIFY,SCOPE,VISUAL"</x:formula1>
    </x:dataValidation>
    <x:dataValidation type="list" sqref="F2:F501">
      <x:formula1>"participant,repository,facilitator-assumption"</x:formula1>
    </x:dataValidation>
    <x:dataValidation type="list" sqref="G2:G501">
      <x:formula1>"yes,no,unknown"</x:formula1>
    </x:dataValidation>
    <x:dataValidation type="list" sqref="H2:H501">
      <x:formula1>"yes,no,unknown"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16" hidden="0" customWidth="1"/>
    <x:col min="7" max="7" width="34" hidden="0" customWidth="1"/>
    <x:col min="8" max="8" width="34" hidden="0" customWidth="1"/>
    <x:col min="9" max="9" width="34" hidden="0" customWidth="1"/>
    <x:col min="10" max="10" width="17" hidden="0" customWidth="1"/>
    <x:col min="11" max="11" width="17" hidden="0" customWidth="1"/>
  </x:cols>
  <x:sheetData>
    <x:row r="1" ht="32" customHeight="1">
      <x:c r="A1" s="33" t="str">
        <x:v>Pattern ID</x:v>
      </x:c>
      <x:c r="B1" s="33" t="str">
        <x:v>Category</x:v>
      </x:c>
      <x:c r="C1" s="33" t="str">
        <x:v>Severity</x:v>
      </x:c>
      <x:c r="D1" s="33" t="str">
        <x:v>Pattern description</x:v>
      </x:c>
      <x:c r="E1" s="33" t="str">
        <x:v>Affected experiment IDs</x:v>
      </x:c>
      <x:c r="F1" s="33" t="str">
        <x:v>Occurrence count</x:v>
      </x:c>
      <x:c r="G1" s="33" t="str">
        <x:v>Evidence</x:v>
      </x:c>
      <x:c r="H1" s="33" t="str">
        <x:v>Proposed mitigation</x:v>
      </x:c>
      <x:c r="I1" s="33" t="str">
        <x:v>Phase 2 action</x:v>
      </x:c>
      <x:c r="J1" s="33" t="str">
        <x:v>Owner</x:v>
      </x:c>
      <x:c r="K1" s="33" t="str">
        <x:v>Status</x:v>
      </x:c>
    </x:row>
    <x:row r="2" ht="28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28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28" customHeight="1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</x:row>
    <x:row r="5" ht="28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</x:row>
    <x:row r="6" ht="28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 ht="28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</x:row>
    <x:row r="8" ht="28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</x:row>
    <x:row r="9" ht="28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</x:row>
    <x:row r="10" ht="28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</x:row>
    <x:row r="11" ht="28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</x:row>
    <x:row r="12" ht="28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</x:row>
    <x:row r="13" ht="28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4" ht="28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28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</x:row>
    <x:row r="16" ht="28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</x:row>
    <x:row r="17" ht="28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</x:row>
    <x:row r="18" ht="28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 ht="28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</x:row>
    <x:row r="20" ht="28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</x:row>
    <x:row r="21" ht="28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28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28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</x:row>
    <x:row r="24" ht="28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  <x:row r="25" ht="28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28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 ht="28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</x:row>
    <x:row r="28" ht="28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 ht="28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</x:row>
    <x:row r="30" ht="28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</x:row>
    <x:row r="31" ht="28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</x:row>
    <x:row r="32" ht="28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</x:row>
    <x:row r="33" ht="28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</x:row>
    <x:row r="34" ht="28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</x:row>
    <x:row r="35" ht="28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</x:row>
    <x:row r="36" ht="28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28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</x:row>
    <x:row r="38" ht="28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</x:row>
    <x:row r="39" ht="28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</x:row>
    <x:row r="40" ht="28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</x:row>
    <x:row r="41" ht="28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</x:row>
    <x:row r="42" ht="28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</x:row>
    <x:row r="43" ht="28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</x:row>
    <x:row r="44" ht="28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</x:row>
    <x:row r="45" ht="28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</x:row>
    <x:row r="46" ht="28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</x:row>
    <x:row r="47" ht="28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28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</x:row>
    <x:row r="49" ht="28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 ht="28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</x:row>
    <x:row r="51" ht="28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</x:row>
    <x:row r="52" ht="28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</x:row>
    <x:row r="53" ht="28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</x:row>
    <x:row r="54" ht="28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</x:row>
    <x:row r="55" ht="28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</x:row>
    <x:row r="56" ht="28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</x:row>
    <x:row r="57" ht="28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</x:row>
    <x:row r="58" ht="28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28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</x:row>
    <x:row r="60" ht="28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</x:row>
    <x:row r="61" ht="28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</x:row>
    <x:row r="62" ht="28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</x:row>
    <x:row r="63" ht="28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</x:row>
    <x:row r="64" ht="28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</x:row>
    <x:row r="65" ht="28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</x:row>
    <x:row r="66" ht="28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</x:row>
    <x:row r="67" ht="28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</x:row>
    <x:row r="68" ht="28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</x:row>
    <x:row r="69" ht="28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28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</x:row>
    <x:row r="71" ht="28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</x:row>
    <x:row r="72" ht="28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</x:row>
    <x:row r="73" ht="28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</x:row>
    <x:row r="74" ht="28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 ht="28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 ht="28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</x:row>
    <x:row r="77" ht="28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</x:row>
    <x:row r="78" ht="28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</x:row>
    <x:row r="79" ht="28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</x:row>
    <x:row r="80" ht="28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28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</x:row>
    <x:row r="82" ht="28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</x:row>
    <x:row r="83" ht="28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</x:row>
    <x:row r="84" ht="28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</x:row>
    <x:row r="85" ht="28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</x:row>
    <x:row r="86" ht="28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</x:row>
    <x:row r="87" ht="28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</x:row>
    <x:row r="88" ht="28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</x:row>
    <x:row r="89" ht="28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</x:row>
    <x:row r="90" ht="28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</x:row>
    <x:row r="91" ht="28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28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</x:row>
    <x:row r="93" ht="28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</x:row>
    <x:row r="94" ht="28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</x:row>
    <x:row r="95" ht="28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</x:row>
    <x:row r="96" ht="28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</x:row>
    <x:row r="97" ht="28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</x:row>
    <x:row r="98" ht="28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</x:row>
    <x:row r="99" ht="28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</x:row>
    <x:row r="100" ht="28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 ht="28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 ht="28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28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</x:row>
    <x:row r="104" ht="28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</x:row>
    <x:row r="105" ht="28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</x:row>
    <x:row r="106" ht="28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</x:row>
    <x:row r="107" ht="28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</x:row>
    <x:row r="108" ht="28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</x:row>
    <x:row r="109" ht="28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</x:row>
    <x:row r="110" ht="28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</x:row>
    <x:row r="111" ht="28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</x:row>
    <x:row r="112" ht="28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</x:row>
    <x:row r="113" ht="28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28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</x:row>
    <x:row r="115" ht="28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</x:row>
    <x:row r="116" ht="28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</x:row>
    <x:row r="117" ht="28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</x:row>
    <x:row r="118" ht="28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</x:row>
    <x:row r="119" ht="28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</x:row>
    <x:row r="120" ht="28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</x:row>
    <x:row r="121" ht="28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</x:row>
    <x:row r="122" ht="28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</x:row>
    <x:row r="123" ht="28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 ht="28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28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 ht="28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</x:row>
    <x:row r="127" ht="28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</x:row>
    <x:row r="128" ht="28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</x:row>
    <x:row r="129" ht="28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</x:row>
    <x:row r="130" ht="28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</x:row>
    <x:row r="131" ht="28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</x:row>
    <x:row r="132" ht="28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</x:row>
    <x:row r="133" ht="28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</x:row>
    <x:row r="134" ht="28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</x:row>
    <x:row r="135" ht="28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28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</x:row>
    <x:row r="137" ht="28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</x:row>
    <x:row r="138" ht="28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</x:row>
    <x:row r="139" ht="28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</x:row>
    <x:row r="140" ht="28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</x:row>
    <x:row r="141" ht="28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</x:row>
    <x:row r="142" ht="28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</x:row>
    <x:row r="143" ht="28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</x:row>
    <x:row r="144" ht="28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</x:row>
    <x:row r="145" ht="28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</x:row>
    <x:row r="146" ht="28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28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</x:row>
    <x:row r="148" ht="28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</x:row>
    <x:row r="149" ht="28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 ht="28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 ht="28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</x:row>
    <x:row r="152" ht="28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</x:row>
    <x:row r="153" ht="28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</x:row>
    <x:row r="154" ht="28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</x:row>
    <x:row r="155" ht="28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</x:row>
    <x:row r="156" ht="28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</x:row>
    <x:row r="157" ht="28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28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</x:row>
    <x:row r="159" ht="28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</x:row>
    <x:row r="160" ht="28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</x:row>
    <x:row r="161" ht="28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</x:row>
    <x:row r="162" ht="28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</x:row>
    <x:row r="163" ht="28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</x:row>
    <x:row r="164" ht="28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</x:row>
    <x:row r="165" ht="28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</x:row>
    <x:row r="166" ht="28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</x:row>
    <x:row r="167" ht="28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</x:row>
    <x:row r="168" ht="28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28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</x:row>
    <x:row r="170" ht="28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</x:row>
    <x:row r="171" ht="28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</x:row>
    <x:row r="172" ht="28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</x:row>
    <x:row r="173" ht="28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</x:row>
    <x:row r="174" ht="28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</x:row>
    <x:row r="175" ht="28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</x:row>
    <x:row r="176" ht="28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</x:row>
    <x:row r="177" ht="28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 ht="28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 ht="28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28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</x:row>
    <x:row r="181" ht="28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</x:row>
    <x:row r="182" ht="28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</x:row>
    <x:row r="183" ht="28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</x:row>
    <x:row r="184" ht="28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</x:row>
    <x:row r="185" ht="28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</x:row>
    <x:row r="186" ht="28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</x:row>
    <x:row r="187" ht="28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</x:row>
    <x:row r="188" ht="28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</x:row>
    <x:row r="189" ht="28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</x:row>
    <x:row r="190" ht="28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28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</x:row>
    <x:row r="192" ht="28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</x:row>
    <x:row r="193" ht="28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</x:row>
    <x:row r="194" ht="28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</x:row>
    <x:row r="195" ht="28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</x:row>
    <x:row r="196" ht="28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</x:row>
    <x:row r="197" ht="28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</x:row>
    <x:row r="198" ht="28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</x:row>
    <x:row r="199" ht="28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</x:row>
    <x:row r="200" ht="28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</x:row>
    <x:row r="201" ht="28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</x:sheetData>
  <x:conditionalFormatting sqref="K2:K201">
    <x:cfRule type="containsText" dxfId="35" priority="1" operator="containsText" text="pass"/>
    <x:cfRule type="containsText" dxfId="36" priority="2" operator="containsText" text="completed"/>
    <x:cfRule type="containsText" dxfId="37" priority="3" operator="containsText" text="fail"/>
    <x:cfRule type="containsText" dxfId="38" priority="4" operator="containsText" text="blocked"/>
    <x:cfRule type="containsText" dxfId="39" priority="5" operator="containsText" text="partial"/>
  </x:conditionalFormatting>
  <x:dataValidations count="3">
    <x:dataValidation type="list" sqref="B2:B201">
      <x:formula1>"scope-missed,assumption-wrong,acceptance-criterion-weak,verification-missing,agent-ignored-instruction,repository-context-missing,tool-or-environment-failure,unsafe-action-blocked,participant-changed-scope,other"</x:formula1>
    </x:dataValidation>
    <x:dataValidation type="list" sqref="C2:C201">
      <x:formula1>"critical,high,medium,low"</x:formula1>
    </x:dataValidation>
    <x:dataValidation type="list" sqref="K2:K201">
      <x:formula1>"open,accepted,implemented,rejected"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4" customHeight="1">
      <x:c r="A1" s="4" t="str">
        <x:v>Definitions, Targets, and Coding Rules</x:v>
      </x:c>
      <x:c r="B1" s="4" t="str">
        <x:v>Definitions, Targets, and Coding Rules</x:v>
      </x:c>
      <x:c r="C1" s="4" t="str">
        <x:v>Definitions, Targets, and Coding Rules</x:v>
      </x:c>
      <x:c r="D1" s="4" t="str">
        <x:v>Definitions, Targets, and Coding Rules</x:v>
      </x:c>
      <x:c r="E1" s="4" t="str">
        <x:v>Definitions, Targets, and Coding Rules</x:v>
      </x:c>
      <x:c r="F1" s="4" t="str">
        <x:v>Definitions, Targets, and Coding Rules</x:v>
      </x:c>
    </x:row>
    <x:row r="2" ht="34" customHeight="1">
      <x:c r="A2" s="4" t="str">
        <x:v>Definitions, Targets, and Coding Rules</x:v>
      </x:c>
      <x:c r="B2" s="4" t="str">
        <x:v>Definitions, Targets, and Coding Rules</x:v>
      </x:c>
      <x:c r="C2" s="4" t="str">
        <x:v>Definitions, Targets, and Coding Rules</x:v>
      </x:c>
      <x:c r="D2" s="4" t="str">
        <x:v>Definitions, Targets, and Coding Rules</x:v>
      </x:c>
      <x:c r="E2" s="4" t="str">
        <x:v>Definitions, Targets, and Coding Rules</x:v>
      </x:c>
      <x:c r="F2" s="4" t="str">
        <x:v>Definitions, Targets, and Coding Rules</x:v>
      </x:c>
    </x:row>
    <x:row r="4" ht="32" customHeight="1">
      <x:c r="A4" s="13" t="str">
        <x:v>Metric</x:v>
      </x:c>
      <x:c r="B4" s="13" t="str">
        <x:v>Phase 1 target</x:v>
      </x:c>
      <x:c r="C4" s="13" t="str">
        <x:v>Definition</x:v>
      </x:c>
    </x:row>
    <x:row r="5" ht="38" customHeight="1">
      <x:c r="A5" s="17" t="str">
        <x:v>Real task examples</x:v>
      </x:c>
      <x:c r="B5" s="17" t="str">
        <x:v>10–20</x:v>
      </x:c>
      <x:c r="C5" s="17" t="str">
        <x:v>Unchanged rough requests for permitted tasks participants intend to run</x:v>
      </x:c>
    </x:row>
    <x:row r="6" ht="38" customHeight="1">
      <x:c r="A6" s="17" t="str">
        <x:v>End-to-end returns</x:v>
      </x:c>
      <x:c r="B6" s="17" t="str">
        <x:v>&gt;=5</x:v>
      </x:c>
      <x:c r="C6" s="17" t="str">
        <x:v>Contract sent, agent run completed, evidence returned, assessed, and debriefed</x:v>
      </x:c>
    </x:row>
    <x:row r="7" ht="38" customHeight="1">
      <x:c r="A7" s="17" t="str">
        <x:v>Risk questions</x:v>
      </x:c>
      <x:c r="B7" s="17" t="str">
        <x:v>&lt;=5 per task</x:v>
      </x:c>
      <x:c r="C7" s="17" t="str">
        <x:v>Only questions that materially change scope, safety, or verification</x:v>
      </x:c>
    </x:row>
    <x:row r="8" ht="38" customHeight="1">
      <x:c r="A8" s="17" t="str">
        <x:v>Specific reuse commitments</x:v>
      </x:c>
      <x:c r="B8" s="17" t="str">
        <x:v>&gt;=3 directional</x:v>
      </x:c>
      <x:c r="C8" s="17" t="str">
        <x:v>Participant identifies or schedules another real task</x:v>
      </x:c>
    </x:row>
    <x:row r="9" ht="38" customHeight="1">
      <x:c r="A9" s="17" t="str">
        <x:v>WTP signal</x:v>
      </x:c>
      <x:c r="B9" s="17" t="str">
        <x:v>&gt;=1 plausible</x:v>
      </x:c>
      <x:c r="C9" s="17" t="str">
        <x:v>Concrete price reaction or payment behavior, not generic praise</x:v>
      </x:c>
    </x:row>
    <x:row r="10" ht="38" customHeight="1">
      <x:c r="A10" s="17" t="str">
        <x:v>Pass rate</x:v>
      </x:c>
      <x:c r="B10" s="17" t="str">
        <x:v>directional</x:v>
      </x:c>
      <x:c r="C10" s="17" t="str">
        <x:v>Supported required passes divided by required criteria</x:v>
      </x:c>
    </x:row>
    <x:row r="11" ht="38" customHeight="1">
      <x:c r="A11" s="17" t="str">
        <x:v>Evidence coverage</x:v>
      </x:c>
      <x:c r="B11" s="17" t="str">
        <x:v>directional</x:v>
      </x:c>
      <x:c r="C11" s="17" t="str">
        <x:v>Required criteria with inspectable evidence divided by required criteria</x:v>
      </x:c>
    </x:row>
    <x:row r="12" ht="38" customHeight="1">
      <x:c r="A12" s="17" t="str">
        <x:v>Token/cost</x:v>
      </x:c>
      <x:c r="B12" s="17" t="str">
        <x:v>secondary</x:v>
      </x:c>
      <x:c r="C12" s="17" t="str">
        <x:v>Compare only when both runs expose the same measurement basis</x:v>
      </x:c>
    </x:row>
    <x:row r="14" ht="32" customHeight="1">
      <x:c r="A14" s="13" t="str">
        <x:v>Code</x:v>
      </x:c>
      <x:c r="B14" s="13" t="str">
        <x:v>Meaning</x:v>
      </x:c>
      <x:c r="C14" s="13" t="str">
        <x:v>Code</x:v>
      </x:c>
      <x:c r="D14" s="13" t="str">
        <x:v>Meaning</x:v>
      </x:c>
      <x:c r="E14" s="13" t="str">
        <x:v>Evidence status</x:v>
      </x:c>
      <x:c r="F14" s="13" t="str">
        <x:v>Meaning</x:v>
      </x:c>
    </x:row>
    <x:row r="15" ht="32" customHeight="1">
      <x:c r="A15" s="17" t="str">
        <x:v>AUTHZ</x:v>
      </x:c>
      <x:c r="B15" s="17" t="str">
        <x:v>Authority and permissions</x:v>
      </x:c>
      <x:c r="C15" s="17" t="str">
        <x:v>DATA</x:v>
      </x:c>
      <x:c r="D15" s="17" t="str">
        <x:v>Data handling</x:v>
      </x:c>
      <x:c r="E15" s="17" t="str">
        <x:v>pass</x:v>
      </x:c>
      <x:c r="F15" s="17" t="str">
        <x:v>Supported by inspectable evidence</x:v>
      </x:c>
    </x:row>
    <x:row r="16" ht="32" customHeight="1">
      <x:c r="A16" s="17" t="str">
        <x:v>FLOW</x:v>
      </x:c>
      <x:c r="B16" s="17" t="str">
        <x:v>Primary user flow</x:v>
      </x:c>
      <x:c r="C16" s="17" t="str">
        <x:v>PAY</x:v>
      </x:c>
      <x:c r="D16" s="17" t="str">
        <x:v>Payments</x:v>
      </x:c>
      <x:c r="E16" s="17" t="str">
        <x:v>fail</x:v>
      </x:c>
      <x:c r="F16" s="17" t="str">
        <x:v>Evidence contradicts criterion</x:v>
      </x:c>
    </x:row>
    <x:row r="17" ht="32" customHeight="1">
      <x:c r="A17" s="17" t="str">
        <x:v>ROLE</x:v>
      </x:c>
      <x:c r="B17" s="17" t="str">
        <x:v>Roles and access</x:v>
      </x:c>
      <x:c r="C17" s="17" t="str">
        <x:v>EXT</x:v>
      </x:c>
      <x:c r="D17" s="17" t="str">
        <x:v>External integrations</x:v>
      </x:c>
      <x:c r="E17" s="17" t="str">
        <x:v>blocked</x:v>
      </x:c>
      <x:c r="F17" s="17" t="str">
        <x:v>Cannot proceed without dependency or approval</x:v>
      </x:c>
    </x:row>
    <x:row r="18" ht="32" customHeight="1">
      <x:c r="A18" s="17" t="str">
        <x:v>AUTHN</x:v>
      </x:c>
      <x:c r="B18" s="17" t="str">
        <x:v>Authentication</x:v>
      </x:c>
      <x:c r="C18" s="17" t="str">
        <x:v>REPO</x:v>
      </x:c>
      <x:c r="D18" s="17" t="str">
        <x:v>Repository context</x:v>
      </x:c>
      <x:c r="E18" s="17" t="str">
        <x:v>unverified</x:v>
      </x:c>
      <x:c r="F18" s="17" t="str">
        <x:v>Claim lacks inspectable evidence</x:v>
      </x:c>
    </x:row>
    <x:row r="19" ht="32" customHeight="1">
      <x:c r="A19" s="17" t="str">
        <x:v>DEPLOY</x:v>
      </x:c>
      <x:c r="B19" s="17" t="str">
        <x:v>Deployment</x:v>
      </x:c>
      <x:c r="C19" s="17" t="str">
        <x:v>VERIFY</x:v>
      </x:c>
      <x:c r="D19" s="17" t="str">
        <x:v>Verification method</x:v>
      </x:c>
      <x:c r="E19" s="17" t="str">
        <x:v>not-applicable</x:v>
      </x:c>
      <x:c r="F19" s="17" t="str">
        <x:v>Criterion excluded by confirmed scope</x:v>
      </x:c>
    </x:row>
    <x:row r="20" ht="32" customHeight="1">
      <x:c r="A20" s="17" t="str">
        <x:v>SCOPE</x:v>
      </x:c>
      <x:c r="B20" s="17" t="str">
        <x:v>Boundaries and non-goals</x:v>
      </x:c>
      <x:c r="C20" s="17" t="str">
        <x:v>VISUAL</x:v>
      </x:c>
      <x:c r="D20" s="17" t="str">
        <x:v>Visual behavior</x:v>
      </x:c>
      <x:c r="E20" s="17"/>
      <x:c r="F20" s="17"/>
    </x:row>
    <x:row r="21" ht="32" customHeight="1">
      <x:c r="A21" s="17"/>
      <x:c r="B21" s="17"/>
      <x:c r="C21" s="17"/>
      <x:c r="D21" s="17"/>
      <x:c r="E21" s="17"/>
      <x:c r="F21" s="17"/>
    </x:row>
    <x:row r="22" ht="32" customHeight="1">
      <x:c r="A22" s="17" t="str">
        <x:v>Outcome</x:v>
      </x:c>
      <x:c r="B22" s="17" t="str">
        <x:v>Definition</x:v>
      </x:c>
      <x:c r="C22" s="17"/>
      <x:c r="D22" s="17"/>
      <x:c r="E22" s="17"/>
      <x:c r="F22" s="17"/>
    </x:row>
    <x:row r="23" ht="32" customHeight="1">
      <x:c r="A23" s="17" t="str">
        <x:v>completed</x:v>
      </x:c>
      <x:c r="B23" s="17" t="str">
        <x:v>All required criteria supported</x:v>
      </x:c>
      <x:c r="C23" s="17"/>
      <x:c r="D23" s="17"/>
      <x:c r="E23" s="17"/>
      <x:c r="F23" s="17"/>
    </x:row>
    <x:row r="24" ht="32" customHeight="1">
      <x:c r="A24" s="17" t="str">
        <x:v>partial</x:v>
      </x:c>
      <x:c r="B24" s="17" t="str">
        <x:v>Some required criteria failed or remain unverified</x:v>
      </x:c>
      <x:c r="C24" s="17"/>
      <x:c r="D24" s="17"/>
      <x:c r="E24" s="17"/>
      <x:c r="F24" s="17"/>
    </x:row>
    <x:row r="25" ht="32" customHeight="1">
      <x:c r="A25" s="17" t="str">
        <x:v>blocked</x:v>
      </x:c>
      <x:c r="B25" s="17" t="str">
        <x:v>External decision, permission, or environment prevents completion</x:v>
      </x:c>
      <x:c r="C25" s="17"/>
      <x:c r="D25" s="17"/>
      <x:c r="E25" s="17"/>
      <x:c r="F25" s="17"/>
    </x:row>
    <x:row r="26" ht="32" customHeight="1">
      <x:c r="A26" s="17" t="str">
        <x:v>abandoned</x:v>
      </x:c>
      <x:c r="B26" s="17" t="str">
        <x:v>Participant did not complete the return workflow</x:v>
      </x:c>
      <x:c r="C26" s="17"/>
      <x:c r="D26" s="17"/>
      <x:c r="E26" s="17"/>
      <x:c r="F26" s="17"/>
    </x:row>
    <x:row r="28" ht="40" customHeight="1">
      <x:c r="A28" s="38" t="str">
        <x:v>Do not declare Phase 1 complete from this workbook alone. The exit decision requires real participant evidence and the completed Exit and Pivot Review.</x:v>
      </x:c>
      <x:c r="B28" s="38" t="str">
        <x:v>Do not declare Phase 1 complete from this workbook alone. The exit decision requires real participant evidence and the completed Exit and Pivot Review.</x:v>
      </x:c>
      <x:c r="C28" s="38" t="str">
        <x:v>Do not declare Phase 1 complete from this workbook alone. The exit decision requires real participant evidence and the completed Exit and Pivot Review.</x:v>
      </x:c>
      <x:c r="D28" s="38" t="str">
        <x:v>Do not declare Phase 1 complete from this workbook alone. The exit decision requires real participant evidence and the completed Exit and Pivot Review.</x:v>
      </x:c>
      <x:c r="E28" s="38" t="str">
        <x:v>Do not declare Phase 1 complete from this workbook alone. The exit decision requires real participant evidence and the completed Exit and Pivot Review.</x:v>
      </x:c>
      <x:c r="F28" s="38" t="str">
        <x:v>Do not declare Phase 1 complete from this workbook alone. The exit decision requires real participant evidence and the completed Exit and Pivot Review.</x:v>
      </x:c>
    </x:row>
  </x:sheetData>
  <x:mergeCells>
    <x:mergeCell ref="A1:F2"/>
    <x:mergeCell ref="A28:F28"/>
  </x:mergeCells>
  <x:pageMargins left="0.7" right="0.7" top="0.75" bottom="0.75" header="0.3" footer="0.3"/>
</x:worksheet>
</file>